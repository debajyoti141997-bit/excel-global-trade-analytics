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hidePivotFieldList="1"/>
  <mc:AlternateContent xmlns:mc="http://schemas.openxmlformats.org/markup-compatibility/2006">
    <mc:Choice Requires="x15">
      <x15ac:absPath xmlns:x15ac="http://schemas.microsoft.com/office/spreadsheetml/2010/11/ac" url="D:\FROM E\imarticus learning courses\Excel\"/>
    </mc:Choice>
  </mc:AlternateContent>
  <xr:revisionPtr revIDLastSave="0" documentId="8_{D26F55F4-BA59-4C5D-AB3F-CEA4E7A5F81A}" xr6:coauthVersionLast="47" xr6:coauthVersionMax="47" xr10:uidLastSave="{00000000-0000-0000-0000-000000000000}"/>
  <bookViews>
    <workbookView xWindow="-108" yWindow="-108" windowWidth="23256" windowHeight="12456" activeTab="10" xr2:uid="{00000000-000D-0000-FFFF-FFFF00000000}"/>
  </bookViews>
  <sheets>
    <sheet name="Q1" sheetId="1" r:id="rId1"/>
    <sheet name="Q2" sheetId="2" r:id="rId2"/>
    <sheet name="Q3" sheetId="3" r:id="rId3"/>
    <sheet name="Q4" sheetId="4" r:id="rId4"/>
    <sheet name="Q5" sheetId="5" r:id="rId5"/>
    <sheet name="Q6" sheetId="6" r:id="rId6"/>
    <sheet name="Q7" sheetId="8" r:id="rId7"/>
    <sheet name="Sheet6" sheetId="7" r:id="rId8"/>
    <sheet name="Q8" sheetId="9" r:id="rId9"/>
    <sheet name="Q9" sheetId="10" r:id="rId10"/>
    <sheet name="Top performer" sheetId="11" r:id="rId11"/>
  </sheets>
  <definedNames>
    <definedName name="_xlnm._FilterDatabase" localSheetId="1" hidden="1">'Q2'!$D$1:$N$501</definedName>
    <definedName name="_xlnm._FilterDatabase" localSheetId="3" hidden="1">'Q4'!$A$1:$C$501</definedName>
    <definedName name="_xlnm.Criteria" localSheetId="3">'Q4'!$R$8:$S$9</definedName>
    <definedName name="_xlnm.Extract" localSheetId="3">'Q4'!$M$20:$O$20</definedName>
    <definedName name="Slicer_Shipments">#N/A</definedName>
  </definedNames>
  <calcPr calcId="191029"/>
  <pivotCaches>
    <pivotCache cacheId="6" r:id="rId12"/>
  </pivotCaches>
  <extLst>
    <ext xmlns:x14="http://schemas.microsoft.com/office/spreadsheetml/2009/9/main" uri="{BBE1A952-AA13-448e-AADC-164F8A28A991}">
      <x14:slicerCaches>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15" i="9" l="1"/>
  <c r="C101" i="9" s="1"/>
  <c r="D100" i="9"/>
  <c r="C100" i="9"/>
  <c r="D83" i="9"/>
  <c r="C83" i="9"/>
  <c r="D69" i="9"/>
  <c r="C69" i="9"/>
  <c r="D51" i="9"/>
  <c r="C51" i="9"/>
  <c r="D33" i="9"/>
  <c r="C33" i="9"/>
  <c r="D15" i="9"/>
  <c r="D101" i="9" s="1"/>
  <c r="M2" i="6"/>
  <c r="M1" i="6"/>
  <c r="J2" i="6"/>
  <c r="J1" i="6"/>
  <c r="L10" i="5"/>
  <c r="D14" i="5"/>
  <c r="E4" i="3"/>
  <c r="E5" i="3"/>
  <c r="E6" i="3"/>
  <c r="E7" i="3"/>
  <c r="E8" i="3"/>
  <c r="E9" i="3"/>
  <c r="E10" i="3"/>
  <c r="E11" i="3"/>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E53" i="3"/>
  <c r="E54" i="3"/>
  <c r="E55" i="3"/>
  <c r="E56" i="3"/>
  <c r="E57" i="3"/>
  <c r="E58" i="3"/>
  <c r="E59" i="3"/>
  <c r="E60" i="3"/>
  <c r="E61" i="3"/>
  <c r="E62" i="3"/>
  <c r="E63" i="3"/>
  <c r="E64" i="3"/>
  <c r="E65" i="3"/>
  <c r="E66" i="3"/>
  <c r="E67" i="3"/>
  <c r="E68" i="3"/>
  <c r="E69" i="3"/>
  <c r="E70" i="3"/>
  <c r="E71" i="3"/>
  <c r="E72" i="3"/>
  <c r="E73" i="3"/>
  <c r="E74" i="3"/>
  <c r="E75" i="3"/>
  <c r="E76" i="3"/>
  <c r="E77" i="3"/>
  <c r="E78" i="3"/>
  <c r="E79" i="3"/>
  <c r="E80" i="3"/>
  <c r="E81" i="3"/>
  <c r="E82" i="3"/>
  <c r="E83" i="3"/>
  <c r="E84" i="3"/>
  <c r="E85" i="3"/>
  <c r="E86" i="3"/>
  <c r="E87" i="3"/>
  <c r="E88" i="3"/>
  <c r="E89" i="3"/>
  <c r="E90" i="3"/>
  <c r="E91" i="3"/>
  <c r="E92" i="3"/>
  <c r="E93" i="3"/>
  <c r="E94" i="3"/>
  <c r="E95" i="3"/>
  <c r="E96" i="3"/>
  <c r="E97" i="3"/>
  <c r="E98" i="3"/>
  <c r="E99" i="3"/>
  <c r="E100" i="3"/>
  <c r="E101" i="3"/>
  <c r="E102" i="3"/>
  <c r="E103" i="3"/>
  <c r="E104" i="3"/>
  <c r="E105" i="3"/>
  <c r="E106" i="3"/>
  <c r="E107" i="3"/>
  <c r="E108" i="3"/>
  <c r="E109" i="3"/>
  <c r="E110" i="3"/>
  <c r="E111" i="3"/>
  <c r="E112" i="3"/>
  <c r="E113" i="3"/>
  <c r="E114" i="3"/>
  <c r="E115" i="3"/>
  <c r="E116" i="3"/>
  <c r="E117" i="3"/>
  <c r="E118" i="3"/>
  <c r="E119" i="3"/>
  <c r="E120" i="3"/>
  <c r="E121" i="3"/>
  <c r="E122" i="3"/>
  <c r="E123" i="3"/>
  <c r="E124" i="3"/>
  <c r="E125" i="3"/>
  <c r="E126" i="3"/>
  <c r="E127" i="3"/>
  <c r="E128" i="3"/>
  <c r="E129" i="3"/>
  <c r="E130" i="3"/>
  <c r="E131" i="3"/>
  <c r="E132" i="3"/>
  <c r="E133" i="3"/>
  <c r="E134" i="3"/>
  <c r="E135" i="3"/>
  <c r="E136" i="3"/>
  <c r="E137" i="3"/>
  <c r="E138" i="3"/>
  <c r="E139" i="3"/>
  <c r="E140" i="3"/>
  <c r="E141" i="3"/>
  <c r="E142" i="3"/>
  <c r="E143" i="3"/>
  <c r="E144" i="3"/>
  <c r="E145" i="3"/>
  <c r="E146" i="3"/>
  <c r="E147" i="3"/>
  <c r="E148" i="3"/>
  <c r="E149" i="3"/>
  <c r="E150" i="3"/>
  <c r="E151" i="3"/>
  <c r="E152" i="3"/>
  <c r="E153" i="3"/>
  <c r="E154" i="3"/>
  <c r="E155" i="3"/>
  <c r="E156" i="3"/>
  <c r="E157" i="3"/>
  <c r="E158" i="3"/>
  <c r="E159" i="3"/>
  <c r="E160" i="3"/>
  <c r="E161" i="3"/>
  <c r="E162" i="3"/>
  <c r="E163" i="3"/>
  <c r="E164" i="3"/>
  <c r="E165" i="3"/>
  <c r="E166" i="3"/>
  <c r="E167" i="3"/>
  <c r="E168" i="3"/>
  <c r="E169" i="3"/>
  <c r="E170" i="3"/>
  <c r="E171" i="3"/>
  <c r="E172" i="3"/>
  <c r="E173" i="3"/>
  <c r="E174" i="3"/>
  <c r="E175" i="3"/>
  <c r="E176" i="3"/>
  <c r="E177" i="3"/>
  <c r="E178" i="3"/>
  <c r="E179" i="3"/>
  <c r="E180" i="3"/>
  <c r="E181" i="3"/>
  <c r="E182" i="3"/>
  <c r="E183" i="3"/>
  <c r="E184" i="3"/>
  <c r="E185" i="3"/>
  <c r="E186" i="3"/>
  <c r="E187" i="3"/>
  <c r="E188" i="3"/>
  <c r="E189" i="3"/>
  <c r="E190" i="3"/>
  <c r="E191" i="3"/>
  <c r="E192" i="3"/>
  <c r="E193" i="3"/>
  <c r="E194" i="3"/>
  <c r="E195" i="3"/>
  <c r="E196" i="3"/>
  <c r="E197" i="3"/>
  <c r="E198" i="3"/>
  <c r="E199" i="3"/>
  <c r="E200" i="3"/>
  <c r="E201" i="3"/>
  <c r="E202" i="3"/>
  <c r="E203" i="3"/>
  <c r="E204" i="3"/>
  <c r="E205" i="3"/>
  <c r="E206" i="3"/>
  <c r="E207" i="3"/>
  <c r="E208" i="3"/>
  <c r="E209" i="3"/>
  <c r="E210" i="3"/>
  <c r="E211" i="3"/>
  <c r="E212" i="3"/>
  <c r="E213" i="3"/>
  <c r="E214" i="3"/>
  <c r="E215" i="3"/>
  <c r="E216" i="3"/>
  <c r="E217" i="3"/>
  <c r="E218" i="3"/>
  <c r="E219" i="3"/>
  <c r="E220" i="3"/>
  <c r="E221" i="3"/>
  <c r="E222" i="3"/>
  <c r="E223" i="3"/>
  <c r="E224" i="3"/>
  <c r="E225" i="3"/>
  <c r="E226" i="3"/>
  <c r="E227" i="3"/>
  <c r="E228" i="3"/>
  <c r="E229" i="3"/>
  <c r="E230" i="3"/>
  <c r="E231" i="3"/>
  <c r="E232" i="3"/>
  <c r="E233" i="3"/>
  <c r="E234" i="3"/>
  <c r="E235" i="3"/>
  <c r="E236" i="3"/>
  <c r="E237" i="3"/>
  <c r="E238" i="3"/>
  <c r="E239" i="3"/>
  <c r="E240" i="3"/>
  <c r="E241" i="3"/>
  <c r="E242" i="3"/>
  <c r="E243" i="3"/>
  <c r="E244" i="3"/>
  <c r="E245" i="3"/>
  <c r="E246" i="3"/>
  <c r="E247" i="3"/>
  <c r="E248" i="3"/>
  <c r="E249" i="3"/>
  <c r="E250" i="3"/>
  <c r="E251" i="3"/>
  <c r="E252" i="3"/>
  <c r="E253" i="3"/>
  <c r="E254" i="3"/>
  <c r="E255" i="3"/>
  <c r="E256" i="3"/>
  <c r="E257" i="3"/>
  <c r="E258" i="3"/>
  <c r="E259" i="3"/>
  <c r="E260" i="3"/>
  <c r="E261" i="3"/>
  <c r="E262" i="3"/>
  <c r="E263" i="3"/>
  <c r="E264" i="3"/>
  <c r="E265" i="3"/>
  <c r="E266" i="3"/>
  <c r="E267" i="3"/>
  <c r="E268" i="3"/>
  <c r="E269" i="3"/>
  <c r="E270" i="3"/>
  <c r="E271" i="3"/>
  <c r="E272" i="3"/>
  <c r="E273" i="3"/>
  <c r="E274" i="3"/>
  <c r="E275" i="3"/>
  <c r="E276" i="3"/>
  <c r="E277" i="3"/>
  <c r="E278" i="3"/>
  <c r="E279" i="3"/>
  <c r="E280" i="3"/>
  <c r="E281" i="3"/>
  <c r="E282" i="3"/>
  <c r="E283" i="3"/>
  <c r="E284" i="3"/>
  <c r="E285" i="3"/>
  <c r="E286" i="3"/>
  <c r="E287" i="3"/>
  <c r="E288" i="3"/>
  <c r="E289" i="3"/>
  <c r="E290" i="3"/>
  <c r="E291" i="3"/>
  <c r="E292" i="3"/>
  <c r="E293" i="3"/>
  <c r="E294" i="3"/>
  <c r="E295" i="3"/>
  <c r="E296" i="3"/>
  <c r="E297" i="3"/>
  <c r="E298" i="3"/>
  <c r="E299" i="3"/>
  <c r="E300" i="3"/>
  <c r="E301" i="3"/>
  <c r="E302" i="3"/>
  <c r="E303" i="3"/>
  <c r="E304" i="3"/>
  <c r="E305" i="3"/>
  <c r="E306" i="3"/>
  <c r="E307" i="3"/>
  <c r="E308" i="3"/>
  <c r="E309" i="3"/>
  <c r="E310" i="3"/>
  <c r="E311" i="3"/>
  <c r="E312" i="3"/>
  <c r="E313" i="3"/>
  <c r="E314" i="3"/>
  <c r="E315" i="3"/>
  <c r="E316" i="3"/>
  <c r="E317" i="3"/>
  <c r="E318" i="3"/>
  <c r="E319" i="3"/>
  <c r="E320" i="3"/>
  <c r="E321" i="3"/>
  <c r="E322" i="3"/>
  <c r="E323" i="3"/>
  <c r="E324" i="3"/>
  <c r="E325" i="3"/>
  <c r="E326" i="3"/>
  <c r="E327" i="3"/>
  <c r="E328" i="3"/>
  <c r="E329" i="3"/>
  <c r="E330" i="3"/>
  <c r="E331" i="3"/>
  <c r="E332" i="3"/>
  <c r="E333" i="3"/>
  <c r="E334" i="3"/>
  <c r="E335" i="3"/>
  <c r="E336" i="3"/>
  <c r="E337" i="3"/>
  <c r="E338" i="3"/>
  <c r="E339" i="3"/>
  <c r="E340" i="3"/>
  <c r="E341" i="3"/>
  <c r="E342" i="3"/>
  <c r="E343" i="3"/>
  <c r="E344" i="3"/>
  <c r="E345" i="3"/>
  <c r="E346" i="3"/>
  <c r="E347" i="3"/>
  <c r="E348" i="3"/>
  <c r="E349" i="3"/>
  <c r="E350" i="3"/>
  <c r="E351" i="3"/>
  <c r="E352" i="3"/>
  <c r="E353" i="3"/>
  <c r="E354" i="3"/>
  <c r="E355" i="3"/>
  <c r="E356" i="3"/>
  <c r="E357" i="3"/>
  <c r="E358" i="3"/>
  <c r="E359" i="3"/>
  <c r="E360" i="3"/>
  <c r="E361" i="3"/>
  <c r="E362" i="3"/>
  <c r="E363" i="3"/>
  <c r="E364" i="3"/>
  <c r="E365" i="3"/>
  <c r="E366" i="3"/>
  <c r="E367" i="3"/>
  <c r="E368" i="3"/>
  <c r="E369" i="3"/>
  <c r="E370" i="3"/>
  <c r="E371" i="3"/>
  <c r="E372" i="3"/>
  <c r="E373" i="3"/>
  <c r="E374" i="3"/>
  <c r="E375" i="3"/>
  <c r="E376" i="3"/>
  <c r="E377" i="3"/>
  <c r="E378" i="3"/>
  <c r="E379" i="3"/>
  <c r="E380" i="3"/>
  <c r="E381" i="3"/>
  <c r="E382" i="3"/>
  <c r="E383" i="3"/>
  <c r="E384" i="3"/>
  <c r="E385" i="3"/>
  <c r="E386" i="3"/>
  <c r="E387" i="3"/>
  <c r="E388" i="3"/>
  <c r="E389" i="3"/>
  <c r="E390" i="3"/>
  <c r="E391" i="3"/>
  <c r="E392" i="3"/>
  <c r="E393" i="3"/>
  <c r="E394" i="3"/>
  <c r="E395" i="3"/>
  <c r="E396" i="3"/>
  <c r="E397" i="3"/>
  <c r="E398" i="3"/>
  <c r="E399" i="3"/>
  <c r="E400" i="3"/>
  <c r="E401" i="3"/>
  <c r="E402" i="3"/>
  <c r="E403" i="3"/>
  <c r="E404" i="3"/>
  <c r="E405" i="3"/>
  <c r="E406" i="3"/>
  <c r="E407" i="3"/>
  <c r="E408" i="3"/>
  <c r="E409" i="3"/>
  <c r="E410" i="3"/>
  <c r="E411" i="3"/>
  <c r="E412" i="3"/>
  <c r="E413" i="3"/>
  <c r="E414" i="3"/>
  <c r="E415" i="3"/>
  <c r="E416" i="3"/>
  <c r="E417" i="3"/>
  <c r="E418" i="3"/>
  <c r="E419" i="3"/>
  <c r="E420" i="3"/>
  <c r="E421" i="3"/>
  <c r="E422" i="3"/>
  <c r="E423" i="3"/>
  <c r="E424" i="3"/>
  <c r="E425" i="3"/>
  <c r="E426" i="3"/>
  <c r="E427" i="3"/>
  <c r="E428" i="3"/>
  <c r="E429" i="3"/>
  <c r="E430" i="3"/>
  <c r="E431" i="3"/>
  <c r="E432" i="3"/>
  <c r="E433" i="3"/>
  <c r="E434" i="3"/>
  <c r="E435" i="3"/>
  <c r="E436" i="3"/>
  <c r="E437" i="3"/>
  <c r="E438" i="3"/>
  <c r="E439" i="3"/>
  <c r="E440" i="3"/>
  <c r="E441" i="3"/>
  <c r="E442" i="3"/>
  <c r="E443" i="3"/>
  <c r="E444" i="3"/>
  <c r="E445" i="3"/>
  <c r="E446" i="3"/>
  <c r="E447" i="3"/>
  <c r="E448" i="3"/>
  <c r="E449" i="3"/>
  <c r="E450" i="3"/>
  <c r="E451" i="3"/>
  <c r="E452" i="3"/>
  <c r="E453" i="3"/>
  <c r="E454" i="3"/>
  <c r="E455" i="3"/>
  <c r="E456" i="3"/>
  <c r="E457" i="3"/>
  <c r="E458" i="3"/>
  <c r="E459" i="3"/>
  <c r="E460" i="3"/>
  <c r="E461" i="3"/>
  <c r="E462" i="3"/>
  <c r="E463" i="3"/>
  <c r="E464" i="3"/>
  <c r="E465" i="3"/>
  <c r="E466" i="3"/>
  <c r="E467" i="3"/>
  <c r="E468" i="3"/>
  <c r="E469" i="3"/>
  <c r="E470" i="3"/>
  <c r="E471" i="3"/>
  <c r="E472" i="3"/>
  <c r="E473" i="3"/>
  <c r="E474" i="3"/>
  <c r="E475" i="3"/>
  <c r="E476" i="3"/>
  <c r="E477" i="3"/>
  <c r="E478" i="3"/>
  <c r="E479" i="3"/>
  <c r="E480" i="3"/>
  <c r="E481" i="3"/>
  <c r="E482" i="3"/>
  <c r="E483" i="3"/>
  <c r="E484" i="3"/>
  <c r="E485" i="3"/>
  <c r="E486" i="3"/>
  <c r="E487" i="3"/>
  <c r="E488" i="3"/>
  <c r="E489" i="3"/>
  <c r="E490" i="3"/>
  <c r="E491" i="3"/>
  <c r="E492" i="3"/>
  <c r="E493" i="3"/>
  <c r="E494" i="3"/>
  <c r="E495" i="3"/>
  <c r="E496" i="3"/>
  <c r="E497" i="3"/>
  <c r="E498" i="3"/>
  <c r="E499" i="3"/>
  <c r="E500" i="3"/>
  <c r="E501" i="3"/>
  <c r="C3" i="4"/>
  <c r="C4" i="4"/>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C201" i="4"/>
  <c r="C202" i="4"/>
  <c r="C203" i="4"/>
  <c r="C204" i="4"/>
  <c r="C205" i="4"/>
  <c r="C206" i="4"/>
  <c r="C207" i="4"/>
  <c r="C208" i="4"/>
  <c r="C209" i="4"/>
  <c r="C210" i="4"/>
  <c r="C211" i="4"/>
  <c r="C212" i="4"/>
  <c r="C213" i="4"/>
  <c r="C214" i="4"/>
  <c r="C215" i="4"/>
  <c r="C216" i="4"/>
  <c r="C217" i="4"/>
  <c r="C218" i="4"/>
  <c r="C219" i="4"/>
  <c r="C220" i="4"/>
  <c r="C221" i="4"/>
  <c r="C222" i="4"/>
  <c r="C223" i="4"/>
  <c r="C224" i="4"/>
  <c r="C225" i="4"/>
  <c r="C226" i="4"/>
  <c r="C227" i="4"/>
  <c r="C228" i="4"/>
  <c r="C229" i="4"/>
  <c r="C230" i="4"/>
  <c r="C231" i="4"/>
  <c r="C232" i="4"/>
  <c r="C233" i="4"/>
  <c r="C234" i="4"/>
  <c r="C235" i="4"/>
  <c r="C236" i="4"/>
  <c r="C237" i="4"/>
  <c r="C238" i="4"/>
  <c r="C239" i="4"/>
  <c r="C240" i="4"/>
  <c r="C241" i="4"/>
  <c r="C242" i="4"/>
  <c r="C243" i="4"/>
  <c r="C244" i="4"/>
  <c r="C245" i="4"/>
  <c r="C246" i="4"/>
  <c r="C247" i="4"/>
  <c r="C248" i="4"/>
  <c r="C249" i="4"/>
  <c r="C250" i="4"/>
  <c r="C251" i="4"/>
  <c r="C252" i="4"/>
  <c r="C253" i="4"/>
  <c r="C254" i="4"/>
  <c r="C255" i="4"/>
  <c r="C256" i="4"/>
  <c r="C257" i="4"/>
  <c r="C258" i="4"/>
  <c r="C259" i="4"/>
  <c r="C260" i="4"/>
  <c r="C261" i="4"/>
  <c r="C262" i="4"/>
  <c r="C263" i="4"/>
  <c r="C264" i="4"/>
  <c r="C265" i="4"/>
  <c r="C266" i="4"/>
  <c r="C267" i="4"/>
  <c r="C268" i="4"/>
  <c r="C269" i="4"/>
  <c r="C270" i="4"/>
  <c r="C271" i="4"/>
  <c r="C272" i="4"/>
  <c r="C273" i="4"/>
  <c r="C274" i="4"/>
  <c r="C275" i="4"/>
  <c r="C276" i="4"/>
  <c r="C277" i="4"/>
  <c r="C278" i="4"/>
  <c r="C279" i="4"/>
  <c r="C280" i="4"/>
  <c r="C281" i="4"/>
  <c r="C282" i="4"/>
  <c r="C283" i="4"/>
  <c r="C284" i="4"/>
  <c r="C285" i="4"/>
  <c r="C286" i="4"/>
  <c r="C287" i="4"/>
  <c r="C288" i="4"/>
  <c r="C289" i="4"/>
  <c r="C290" i="4"/>
  <c r="C291" i="4"/>
  <c r="C292" i="4"/>
  <c r="C293" i="4"/>
  <c r="C294" i="4"/>
  <c r="C295" i="4"/>
  <c r="C296" i="4"/>
  <c r="C297" i="4"/>
  <c r="C298" i="4"/>
  <c r="C299" i="4"/>
  <c r="C300" i="4"/>
  <c r="C301" i="4"/>
  <c r="C302" i="4"/>
  <c r="C303" i="4"/>
  <c r="C304" i="4"/>
  <c r="C305" i="4"/>
  <c r="C306" i="4"/>
  <c r="C307" i="4"/>
  <c r="C308" i="4"/>
  <c r="C309" i="4"/>
  <c r="C310" i="4"/>
  <c r="C311" i="4"/>
  <c r="C312" i="4"/>
  <c r="C313" i="4"/>
  <c r="C314" i="4"/>
  <c r="C315" i="4"/>
  <c r="C316" i="4"/>
  <c r="C317" i="4"/>
  <c r="C318" i="4"/>
  <c r="C319" i="4"/>
  <c r="C320" i="4"/>
  <c r="C321" i="4"/>
  <c r="C322" i="4"/>
  <c r="C323" i="4"/>
  <c r="C324" i="4"/>
  <c r="C325" i="4"/>
  <c r="C326" i="4"/>
  <c r="C327" i="4"/>
  <c r="C328" i="4"/>
  <c r="C329" i="4"/>
  <c r="C330" i="4"/>
  <c r="C331" i="4"/>
  <c r="C332" i="4"/>
  <c r="C333" i="4"/>
  <c r="C334" i="4"/>
  <c r="C335" i="4"/>
  <c r="C336" i="4"/>
  <c r="C337" i="4"/>
  <c r="C338" i="4"/>
  <c r="C339" i="4"/>
  <c r="C340" i="4"/>
  <c r="C341" i="4"/>
  <c r="C342" i="4"/>
  <c r="C343" i="4"/>
  <c r="C344" i="4"/>
  <c r="C345" i="4"/>
  <c r="C346" i="4"/>
  <c r="C347" i="4"/>
  <c r="C348" i="4"/>
  <c r="C349" i="4"/>
  <c r="C350" i="4"/>
  <c r="C351" i="4"/>
  <c r="C352" i="4"/>
  <c r="C353" i="4"/>
  <c r="C354" i="4"/>
  <c r="C355" i="4"/>
  <c r="C356" i="4"/>
  <c r="C357" i="4"/>
  <c r="C358" i="4"/>
  <c r="C359" i="4"/>
  <c r="C360" i="4"/>
  <c r="C361" i="4"/>
  <c r="C362" i="4"/>
  <c r="C363" i="4"/>
  <c r="C364" i="4"/>
  <c r="C365" i="4"/>
  <c r="C366" i="4"/>
  <c r="C367" i="4"/>
  <c r="C368" i="4"/>
  <c r="C369" i="4"/>
  <c r="C370" i="4"/>
  <c r="C371" i="4"/>
  <c r="C372" i="4"/>
  <c r="C373" i="4"/>
  <c r="C374" i="4"/>
  <c r="C375" i="4"/>
  <c r="C376" i="4"/>
  <c r="C377" i="4"/>
  <c r="C378" i="4"/>
  <c r="C379" i="4"/>
  <c r="C380" i="4"/>
  <c r="C381" i="4"/>
  <c r="C382" i="4"/>
  <c r="C383" i="4"/>
  <c r="C384" i="4"/>
  <c r="C385" i="4"/>
  <c r="C386" i="4"/>
  <c r="C387" i="4"/>
  <c r="C388" i="4"/>
  <c r="C389" i="4"/>
  <c r="C390" i="4"/>
  <c r="C391" i="4"/>
  <c r="C392" i="4"/>
  <c r="C393" i="4"/>
  <c r="C394" i="4"/>
  <c r="C395" i="4"/>
  <c r="C396" i="4"/>
  <c r="C397" i="4"/>
  <c r="C398" i="4"/>
  <c r="C399" i="4"/>
  <c r="C400" i="4"/>
  <c r="C401" i="4"/>
  <c r="C402" i="4"/>
  <c r="C403" i="4"/>
  <c r="C404" i="4"/>
  <c r="C405" i="4"/>
  <c r="C406" i="4"/>
  <c r="C407" i="4"/>
  <c r="C408" i="4"/>
  <c r="C409" i="4"/>
  <c r="C410" i="4"/>
  <c r="C411" i="4"/>
  <c r="C412" i="4"/>
  <c r="C413" i="4"/>
  <c r="C414" i="4"/>
  <c r="C415" i="4"/>
  <c r="C416" i="4"/>
  <c r="C417" i="4"/>
  <c r="C418" i="4"/>
  <c r="C419" i="4"/>
  <c r="C420" i="4"/>
  <c r="C421" i="4"/>
  <c r="C422" i="4"/>
  <c r="C423" i="4"/>
  <c r="C424" i="4"/>
  <c r="C425" i="4"/>
  <c r="C426" i="4"/>
  <c r="C427" i="4"/>
  <c r="C428" i="4"/>
  <c r="C429" i="4"/>
  <c r="C430" i="4"/>
  <c r="C431" i="4"/>
  <c r="C432" i="4"/>
  <c r="C433" i="4"/>
  <c r="C434" i="4"/>
  <c r="C435" i="4"/>
  <c r="C436" i="4"/>
  <c r="C437" i="4"/>
  <c r="C438" i="4"/>
  <c r="C439" i="4"/>
  <c r="C440" i="4"/>
  <c r="C441" i="4"/>
  <c r="C442" i="4"/>
  <c r="C443" i="4"/>
  <c r="C444" i="4"/>
  <c r="C445" i="4"/>
  <c r="C446" i="4"/>
  <c r="C447" i="4"/>
  <c r="C448" i="4"/>
  <c r="C449" i="4"/>
  <c r="C450" i="4"/>
  <c r="C451" i="4"/>
  <c r="C452" i="4"/>
  <c r="C453" i="4"/>
  <c r="C454" i="4"/>
  <c r="C455" i="4"/>
  <c r="C456" i="4"/>
  <c r="C457" i="4"/>
  <c r="C458" i="4"/>
  <c r="C459" i="4"/>
  <c r="C460" i="4"/>
  <c r="C461" i="4"/>
  <c r="C462" i="4"/>
  <c r="C463" i="4"/>
  <c r="C464" i="4"/>
  <c r="C465" i="4"/>
  <c r="C466" i="4"/>
  <c r="C467" i="4"/>
  <c r="C468" i="4"/>
  <c r="C469" i="4"/>
  <c r="C470" i="4"/>
  <c r="C471" i="4"/>
  <c r="C472" i="4"/>
  <c r="C473" i="4"/>
  <c r="C474" i="4"/>
  <c r="C475" i="4"/>
  <c r="C476" i="4"/>
  <c r="C477" i="4"/>
  <c r="C478" i="4"/>
  <c r="C479" i="4"/>
  <c r="C480" i="4"/>
  <c r="C481" i="4"/>
  <c r="C482" i="4"/>
  <c r="C483" i="4"/>
  <c r="C484" i="4"/>
  <c r="C485" i="4"/>
  <c r="C486" i="4"/>
  <c r="C487" i="4"/>
  <c r="C488" i="4"/>
  <c r="C489" i="4"/>
  <c r="C490" i="4"/>
  <c r="C491" i="4"/>
  <c r="C492" i="4"/>
  <c r="C493" i="4"/>
  <c r="C494" i="4"/>
  <c r="C495" i="4"/>
  <c r="C496" i="4"/>
  <c r="C497" i="4"/>
  <c r="C498" i="4"/>
  <c r="C499" i="4"/>
  <c r="C500" i="4"/>
  <c r="C501" i="4"/>
  <c r="C2" i="4"/>
  <c r="E3" i="3"/>
  <c r="E2" i="3"/>
  <c r="S17" i="2"/>
  <c r="S16" i="2"/>
  <c r="S15"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2" i="2"/>
  <c r="W11" i="2"/>
  <c r="W10" i="2"/>
  <c r="W8" i="2"/>
  <c r="W7" i="2"/>
  <c r="W4" i="2"/>
  <c r="W3" i="2"/>
  <c r="W2" i="2"/>
  <c r="D3" i="1"/>
  <c r="D11" i="1"/>
  <c r="D16" i="1"/>
  <c r="D17" i="1"/>
  <c r="D18" i="1"/>
  <c r="D19" i="1"/>
  <c r="D23" i="1"/>
  <c r="D24" i="1"/>
  <c r="D25" i="1"/>
  <c r="D26" i="1"/>
  <c r="D27" i="1"/>
  <c r="D32" i="1"/>
  <c r="D33" i="1"/>
  <c r="D34" i="1"/>
  <c r="D35" i="1"/>
  <c r="D42" i="1"/>
  <c r="D43" i="1"/>
  <c r="D47" i="1"/>
  <c r="D48" i="1"/>
  <c r="D49" i="1"/>
  <c r="D50" i="1"/>
  <c r="D55" i="1"/>
  <c r="D56" i="1"/>
  <c r="D57" i="1"/>
  <c r="D58" i="1"/>
  <c r="D59" i="1"/>
  <c r="D64" i="1"/>
  <c r="D65" i="1"/>
  <c r="D66" i="1"/>
  <c r="D67" i="1"/>
  <c r="D72" i="1"/>
  <c r="D73" i="1"/>
  <c r="D74" i="1"/>
  <c r="D75" i="1"/>
  <c r="D80" i="1"/>
  <c r="D81" i="1"/>
  <c r="D82" i="1"/>
  <c r="D83" i="1"/>
  <c r="D91" i="1"/>
  <c r="D95" i="1"/>
  <c r="D96" i="1"/>
  <c r="D97" i="1"/>
  <c r="D98" i="1"/>
  <c r="D99" i="1"/>
  <c r="D103" i="1"/>
  <c r="D104" i="1"/>
  <c r="D105" i="1"/>
  <c r="D106" i="1"/>
  <c r="D107" i="1"/>
  <c r="D112" i="1"/>
  <c r="D113" i="1"/>
  <c r="D114" i="1"/>
  <c r="D115" i="1"/>
  <c r="D121" i="1"/>
  <c r="D122" i="1"/>
  <c r="D123" i="1"/>
  <c r="D127" i="1"/>
  <c r="D128" i="1"/>
  <c r="D129" i="1"/>
  <c r="D130" i="1"/>
  <c r="D131" i="1"/>
  <c r="D139" i="1"/>
  <c r="D144" i="1"/>
  <c r="D145" i="1"/>
  <c r="D146" i="1"/>
  <c r="D147" i="1"/>
  <c r="D151" i="1"/>
  <c r="D152" i="1"/>
  <c r="D153" i="1"/>
  <c r="D154" i="1"/>
  <c r="D155" i="1"/>
  <c r="D160" i="1"/>
  <c r="D161" i="1"/>
  <c r="D162" i="1"/>
  <c r="D163" i="1"/>
  <c r="D170" i="1"/>
  <c r="D171" i="1"/>
  <c r="D175" i="1"/>
  <c r="D176" i="1"/>
  <c r="D177" i="1"/>
  <c r="D178" i="1"/>
  <c r="D183" i="1"/>
  <c r="D184" i="1"/>
  <c r="D185" i="1"/>
  <c r="D186" i="1"/>
  <c r="D187" i="1"/>
  <c r="D192" i="1"/>
  <c r="D193" i="1"/>
  <c r="D194" i="1"/>
  <c r="D195" i="1"/>
  <c r="D200" i="1"/>
  <c r="D201" i="1"/>
  <c r="D202" i="1"/>
  <c r="D203" i="1"/>
  <c r="D208" i="1"/>
  <c r="D209" i="1"/>
  <c r="D210" i="1"/>
  <c r="D211" i="1"/>
  <c r="D219" i="1"/>
  <c r="D223" i="1"/>
  <c r="D224" i="1"/>
  <c r="D225" i="1"/>
  <c r="D226" i="1"/>
  <c r="D227" i="1"/>
  <c r="D231" i="1"/>
  <c r="D232" i="1"/>
  <c r="D233" i="1"/>
  <c r="D234" i="1"/>
  <c r="D235" i="1"/>
  <c r="D240" i="1"/>
  <c r="D241" i="1"/>
  <c r="D242" i="1"/>
  <c r="D243" i="1"/>
  <c r="D249" i="1"/>
  <c r="D250" i="1"/>
  <c r="D251" i="1"/>
  <c r="D255" i="1"/>
  <c r="D256" i="1"/>
  <c r="D257" i="1"/>
  <c r="D258" i="1"/>
  <c r="D259" i="1"/>
  <c r="D267" i="1"/>
  <c r="D272" i="1"/>
  <c r="D273" i="1"/>
  <c r="D274" i="1"/>
  <c r="D275" i="1"/>
  <c r="D279" i="1"/>
  <c r="D280" i="1"/>
  <c r="D281" i="1"/>
  <c r="D282" i="1"/>
  <c r="D283" i="1"/>
  <c r="D288" i="1"/>
  <c r="D289" i="1"/>
  <c r="D290" i="1"/>
  <c r="D291" i="1"/>
  <c r="D298" i="1"/>
  <c r="D299" i="1"/>
  <c r="D303" i="1"/>
  <c r="D304" i="1"/>
  <c r="D305" i="1"/>
  <c r="D306" i="1"/>
  <c r="D311" i="1"/>
  <c r="D312" i="1"/>
  <c r="D313" i="1"/>
  <c r="D314" i="1"/>
  <c r="D315" i="1"/>
  <c r="D320" i="1"/>
  <c r="D321" i="1"/>
  <c r="D322" i="1"/>
  <c r="D323" i="1"/>
  <c r="D328" i="1"/>
  <c r="D329" i="1"/>
  <c r="D330" i="1"/>
  <c r="D331" i="1"/>
  <c r="D336" i="1"/>
  <c r="D337" i="1"/>
  <c r="D338" i="1"/>
  <c r="D339" i="1"/>
  <c r="D347" i="1"/>
  <c r="D351" i="1"/>
  <c r="D352" i="1"/>
  <c r="D353" i="1"/>
  <c r="D354" i="1"/>
  <c r="D355" i="1"/>
  <c r="D359" i="1"/>
  <c r="D360" i="1"/>
  <c r="D361" i="1"/>
  <c r="D362" i="1"/>
  <c r="D363" i="1"/>
  <c r="D368" i="1"/>
  <c r="D369" i="1"/>
  <c r="D370" i="1"/>
  <c r="D371" i="1"/>
  <c r="D377" i="1"/>
  <c r="D378" i="1"/>
  <c r="D379" i="1"/>
  <c r="D383" i="1"/>
  <c r="D384" i="1"/>
  <c r="D385" i="1"/>
  <c r="D386" i="1"/>
  <c r="D387" i="1"/>
  <c r="D395" i="1"/>
  <c r="D400" i="1"/>
  <c r="D401" i="1"/>
  <c r="D402" i="1"/>
  <c r="D403" i="1"/>
  <c r="D407" i="1"/>
  <c r="D408" i="1"/>
  <c r="D409" i="1"/>
  <c r="D410" i="1"/>
  <c r="D411" i="1"/>
  <c r="D416" i="1"/>
  <c r="D417" i="1"/>
  <c r="D418" i="1"/>
  <c r="D419" i="1"/>
  <c r="D426" i="1"/>
  <c r="D427" i="1"/>
  <c r="D431" i="1"/>
  <c r="D432" i="1"/>
  <c r="D433" i="1"/>
  <c r="D434" i="1"/>
  <c r="D439" i="1"/>
  <c r="D440" i="1"/>
  <c r="D441" i="1"/>
  <c r="D442" i="1"/>
  <c r="D443" i="1"/>
  <c r="D448" i="1"/>
  <c r="D449" i="1"/>
  <c r="D450" i="1"/>
  <c r="D451" i="1"/>
  <c r="D456" i="1"/>
  <c r="D457" i="1"/>
  <c r="D458" i="1"/>
  <c r="D459" i="1"/>
  <c r="D464" i="1"/>
  <c r="D465" i="1"/>
  <c r="D466" i="1"/>
  <c r="D467" i="1"/>
  <c r="D474" i="1"/>
  <c r="D475" i="1"/>
  <c r="D479" i="1"/>
  <c r="D480" i="1"/>
  <c r="D481" i="1"/>
  <c r="D482" i="1"/>
  <c r="D483" i="1"/>
  <c r="D491" i="1"/>
  <c r="D496" i="1"/>
  <c r="D497" i="1"/>
  <c r="D498" i="1"/>
  <c r="D499" i="1"/>
  <c r="D7" i="1"/>
  <c r="D8" i="1"/>
  <c r="D9" i="1"/>
  <c r="D10" i="1"/>
  <c r="D15" i="1"/>
  <c r="D31" i="1"/>
  <c r="D39" i="1"/>
  <c r="D40" i="1"/>
  <c r="D41" i="1"/>
  <c r="D63" i="1"/>
  <c r="D71" i="1"/>
  <c r="D79" i="1"/>
  <c r="D87" i="1"/>
  <c r="D88" i="1"/>
  <c r="D89" i="1"/>
  <c r="D90" i="1"/>
  <c r="D111" i="1"/>
  <c r="D119" i="1"/>
  <c r="D120" i="1"/>
  <c r="D135" i="1"/>
  <c r="D136" i="1"/>
  <c r="D137" i="1"/>
  <c r="D138" i="1"/>
  <c r="D143" i="1"/>
  <c r="D159" i="1"/>
  <c r="D167" i="1"/>
  <c r="D168" i="1"/>
  <c r="D169" i="1"/>
  <c r="D191" i="1"/>
  <c r="D199" i="1"/>
  <c r="D207" i="1"/>
  <c r="D215" i="1"/>
  <c r="D216" i="1"/>
  <c r="D217" i="1"/>
  <c r="D218" i="1"/>
  <c r="D239" i="1"/>
  <c r="D247" i="1"/>
  <c r="D248" i="1"/>
  <c r="D263" i="1"/>
  <c r="D264" i="1"/>
  <c r="D265" i="1"/>
  <c r="D266" i="1"/>
  <c r="D271" i="1"/>
  <c r="D287" i="1"/>
  <c r="D295" i="1"/>
  <c r="D296" i="1"/>
  <c r="D297" i="1"/>
  <c r="D319" i="1"/>
  <c r="D327" i="1"/>
  <c r="D335" i="1"/>
  <c r="D343" i="1"/>
  <c r="D344" i="1"/>
  <c r="D345" i="1"/>
  <c r="D346" i="1"/>
  <c r="D367" i="1"/>
  <c r="D375" i="1"/>
  <c r="D376" i="1"/>
  <c r="D391" i="1"/>
  <c r="D392" i="1"/>
  <c r="D393" i="1"/>
  <c r="D394" i="1"/>
  <c r="D399" i="1"/>
  <c r="D415" i="1"/>
  <c r="D423" i="1"/>
  <c r="D424" i="1"/>
  <c r="D425" i="1"/>
  <c r="D447" i="1"/>
  <c r="D455" i="1"/>
  <c r="D463" i="1"/>
  <c r="D471" i="1"/>
  <c r="D472" i="1"/>
  <c r="D473" i="1"/>
  <c r="D487" i="1"/>
  <c r="D488" i="1"/>
  <c r="D489" i="1"/>
  <c r="D490" i="1"/>
  <c r="D495" i="1"/>
  <c r="D2" i="1"/>
  <c r="D4" i="1"/>
  <c r="D5" i="1"/>
  <c r="D6" i="1"/>
  <c r="D12" i="1"/>
  <c r="D13" i="1"/>
  <c r="D14" i="1"/>
  <c r="D20" i="1"/>
  <c r="D21" i="1"/>
  <c r="D22" i="1"/>
  <c r="D28" i="1"/>
  <c r="D29" i="1"/>
  <c r="D30" i="1"/>
  <c r="D36" i="1"/>
  <c r="D37" i="1"/>
  <c r="D38" i="1"/>
  <c r="D44" i="1"/>
  <c r="D45" i="1"/>
  <c r="D46" i="1"/>
  <c r="D51" i="1"/>
  <c r="D52" i="1"/>
  <c r="D53" i="1"/>
  <c r="D54" i="1"/>
  <c r="D60" i="1"/>
  <c r="D61" i="1"/>
  <c r="D62" i="1"/>
  <c r="D68" i="1"/>
  <c r="D69" i="1"/>
  <c r="D70" i="1"/>
  <c r="D76" i="1"/>
  <c r="D77" i="1"/>
  <c r="D78" i="1"/>
  <c r="D84" i="1"/>
  <c r="D85" i="1"/>
  <c r="D86" i="1"/>
  <c r="D92" i="1"/>
  <c r="D93" i="1"/>
  <c r="D94" i="1"/>
  <c r="D100" i="1"/>
  <c r="D101" i="1"/>
  <c r="D102" i="1"/>
  <c r="D108" i="1"/>
  <c r="D109" i="1"/>
  <c r="D110" i="1"/>
  <c r="D116" i="1"/>
  <c r="D117" i="1"/>
  <c r="D118" i="1"/>
  <c r="D124" i="1"/>
  <c r="D125" i="1"/>
  <c r="D126" i="1"/>
  <c r="D132" i="1"/>
  <c r="D133" i="1"/>
  <c r="D134" i="1"/>
  <c r="D140" i="1"/>
  <c r="D141" i="1"/>
  <c r="D142" i="1"/>
  <c r="D148" i="1"/>
  <c r="D149" i="1"/>
  <c r="D150" i="1"/>
  <c r="D156" i="1"/>
  <c r="D157" i="1"/>
  <c r="D158" i="1"/>
  <c r="D164" i="1"/>
  <c r="D165" i="1"/>
  <c r="D166" i="1"/>
  <c r="D172" i="1"/>
  <c r="D173" i="1"/>
  <c r="D174" i="1"/>
  <c r="D179" i="1"/>
  <c r="D180" i="1"/>
  <c r="D181" i="1"/>
  <c r="D182" i="1"/>
  <c r="D188" i="1"/>
  <c r="D189" i="1"/>
  <c r="D190" i="1"/>
  <c r="D196" i="1"/>
  <c r="D197" i="1"/>
  <c r="D198" i="1"/>
  <c r="D204" i="1"/>
  <c r="D205" i="1"/>
  <c r="D206" i="1"/>
  <c r="D212" i="1"/>
  <c r="D213" i="1"/>
  <c r="D214" i="1"/>
  <c r="D220" i="1"/>
  <c r="D221" i="1"/>
  <c r="D222" i="1"/>
  <c r="D228" i="1"/>
  <c r="D229" i="1"/>
  <c r="D230" i="1"/>
  <c r="D236" i="1"/>
  <c r="D237" i="1"/>
  <c r="D238" i="1"/>
  <c r="D244" i="1"/>
  <c r="D245" i="1"/>
  <c r="D246" i="1"/>
  <c r="D252" i="1"/>
  <c r="D253" i="1"/>
  <c r="D254" i="1"/>
  <c r="D260" i="1"/>
  <c r="D261" i="1"/>
  <c r="D262" i="1"/>
  <c r="D268" i="1"/>
  <c r="D269" i="1"/>
  <c r="D270" i="1"/>
  <c r="D276" i="1"/>
  <c r="D277" i="1"/>
  <c r="D278" i="1"/>
  <c r="D284" i="1"/>
  <c r="D285" i="1"/>
  <c r="D286" i="1"/>
  <c r="D292" i="1"/>
  <c r="D293" i="1"/>
  <c r="D294" i="1"/>
  <c r="D300" i="1"/>
  <c r="D301" i="1"/>
  <c r="D302" i="1"/>
  <c r="D307" i="1"/>
  <c r="D308" i="1"/>
  <c r="D309" i="1"/>
  <c r="D310" i="1"/>
  <c r="D316" i="1"/>
  <c r="D317" i="1"/>
  <c r="D318" i="1"/>
  <c r="D324" i="1"/>
  <c r="D325" i="1"/>
  <c r="D326" i="1"/>
  <c r="D332" i="1"/>
  <c r="D333" i="1"/>
  <c r="D334" i="1"/>
  <c r="D340" i="1"/>
  <c r="D341" i="1"/>
  <c r="D342" i="1"/>
  <c r="D348" i="1"/>
  <c r="D349" i="1"/>
  <c r="D350" i="1"/>
  <c r="D356" i="1"/>
  <c r="D357" i="1"/>
  <c r="D358" i="1"/>
  <c r="D364" i="1"/>
  <c r="D365" i="1"/>
  <c r="D366" i="1"/>
  <c r="D372" i="1"/>
  <c r="D373" i="1"/>
  <c r="D374" i="1"/>
  <c r="D380" i="1"/>
  <c r="D381" i="1"/>
  <c r="D382" i="1"/>
  <c r="D388" i="1"/>
  <c r="D389" i="1"/>
  <c r="D390" i="1"/>
  <c r="D396" i="1"/>
  <c r="D397" i="1"/>
  <c r="D398" i="1"/>
  <c r="D404" i="1"/>
  <c r="D405" i="1"/>
  <c r="D406" i="1"/>
  <c r="D412" i="1"/>
  <c r="D413" i="1"/>
  <c r="D414" i="1"/>
  <c r="D420" i="1"/>
  <c r="D421" i="1"/>
  <c r="D422" i="1"/>
  <c r="D428" i="1"/>
  <c r="D429" i="1"/>
  <c r="D430" i="1"/>
  <c r="D435" i="1"/>
  <c r="D436" i="1"/>
  <c r="D437" i="1"/>
  <c r="D438" i="1"/>
  <c r="D444" i="1"/>
  <c r="D445" i="1"/>
  <c r="D446" i="1"/>
  <c r="D452" i="1"/>
  <c r="D453" i="1"/>
  <c r="D454" i="1"/>
  <c r="D460" i="1"/>
  <c r="D461" i="1"/>
  <c r="D462" i="1"/>
  <c r="D468" i="1"/>
  <c r="D469" i="1"/>
  <c r="D470" i="1"/>
  <c r="D476" i="1"/>
  <c r="D477" i="1"/>
  <c r="D478" i="1"/>
  <c r="D484" i="1"/>
  <c r="D485" i="1"/>
  <c r="D486" i="1"/>
  <c r="D492" i="1"/>
  <c r="D493" i="1"/>
  <c r="D494" i="1"/>
  <c r="D500" i="1"/>
  <c r="D501" i="1"/>
</calcChain>
</file>

<file path=xl/sharedStrings.xml><?xml version="1.0" encoding="utf-8"?>
<sst xmlns="http://schemas.openxmlformats.org/spreadsheetml/2006/main" count="11374" uniqueCount="1092">
  <si>
    <t>Order_ID</t>
  </si>
  <si>
    <t>Order_Date</t>
  </si>
  <si>
    <t>Customer_Name</t>
  </si>
  <si>
    <t>Country</t>
  </si>
  <si>
    <t>Product</t>
  </si>
  <si>
    <t>Category</t>
  </si>
  <si>
    <t>Quantity</t>
  </si>
  <si>
    <t>Unit_Price</t>
  </si>
  <si>
    <t>Total_Sales</t>
  </si>
  <si>
    <t>Shipping_Cost</t>
  </si>
  <si>
    <t>Profit</t>
  </si>
  <si>
    <t>Ship_Mode</t>
  </si>
  <si>
    <t>Order_Priority</t>
  </si>
  <si>
    <t>Region_Code</t>
  </si>
  <si>
    <t>ORD_2025_0001</t>
  </si>
  <si>
    <t>2025-01-20</t>
  </si>
  <si>
    <t>Smith, Emily</t>
  </si>
  <si>
    <t>USA</t>
  </si>
  <si>
    <t>Travel Backpack</t>
  </si>
  <si>
    <t>Accessories</t>
  </si>
  <si>
    <t>Land</t>
  </si>
  <si>
    <t>Low</t>
  </si>
  <si>
    <t>NA</t>
  </si>
  <si>
    <t>ORD_2025_0002</t>
  </si>
  <si>
    <t>2025-02-14</t>
  </si>
  <si>
    <t>Brown, Laura</t>
  </si>
  <si>
    <t>UK</t>
  </si>
  <si>
    <t>Leather Wallet</t>
  </si>
  <si>
    <t>Sea</t>
  </si>
  <si>
    <t>Medium</t>
  </si>
  <si>
    <t>EU</t>
  </si>
  <si>
    <t>ORD_2025_0003</t>
  </si>
  <si>
    <t>2024-04-29</t>
  </si>
  <si>
    <t>Davis, John</t>
  </si>
  <si>
    <t>Italy</t>
  </si>
  <si>
    <t>High</t>
  </si>
  <si>
    <t>ORD_2025_0004</t>
  </si>
  <si>
    <t>2024-10-01</t>
  </si>
  <si>
    <t>Miller, Daniel</t>
  </si>
  <si>
    <t>Brazil</t>
  </si>
  <si>
    <t>Bluetooth Speaker</t>
  </si>
  <si>
    <t>Electronics</t>
  </si>
  <si>
    <t>Air</t>
  </si>
  <si>
    <t>SA</t>
  </si>
  <si>
    <t>ORD_2025_0005</t>
  </si>
  <si>
    <t>2025-02-15</t>
  </si>
  <si>
    <t>Johnson, Emma</t>
  </si>
  <si>
    <t>Canada</t>
  </si>
  <si>
    <t>Denim Jacket</t>
  </si>
  <si>
    <t>Apparel</t>
  </si>
  <si>
    <t>ORD_2025_0006</t>
  </si>
  <si>
    <t>2025-02-26</t>
  </si>
  <si>
    <t>Johnson, Michael</t>
  </si>
  <si>
    <t>Mexico</t>
  </si>
  <si>
    <t>Wireless Mouse</t>
  </si>
  <si>
    <t>ORD_2025_0007</t>
  </si>
  <si>
    <t>2024-06-13</t>
  </si>
  <si>
    <t>Hernandez, Emma</t>
  </si>
  <si>
    <t>Glass Bowl Set</t>
  </si>
  <si>
    <t>Home Decor</t>
  </si>
  <si>
    <t>ORD_2025_0008</t>
  </si>
  <si>
    <t>2025-05-01</t>
  </si>
  <si>
    <t>Miller, John</t>
  </si>
  <si>
    <t>China</t>
  </si>
  <si>
    <t>Cotton Bedsheet</t>
  </si>
  <si>
    <t>Textiles</t>
  </si>
  <si>
    <t>AS</t>
  </si>
  <si>
    <t>ORD_2025_0009</t>
  </si>
  <si>
    <t>2024-09-13</t>
  </si>
  <si>
    <t>Ceramic Vase</t>
  </si>
  <si>
    <t>ORD_2025_0010</t>
  </si>
  <si>
    <t>2024-08-27</t>
  </si>
  <si>
    <t>Martinez, Laura</t>
  </si>
  <si>
    <t>LED Lamp</t>
  </si>
  <si>
    <t>ORD_2025_0011</t>
  </si>
  <si>
    <t>2025-04-07</t>
  </si>
  <si>
    <t>Martinez, James</t>
  </si>
  <si>
    <t>ORD_2025_0012</t>
  </si>
  <si>
    <t>2024-12-08</t>
  </si>
  <si>
    <t>Davis, James</t>
  </si>
  <si>
    <t>ORD_2025_0013</t>
  </si>
  <si>
    <t>2024-09-12</t>
  </si>
  <si>
    <t>Singapore</t>
  </si>
  <si>
    <t>ORD_2025_0014</t>
  </si>
  <si>
    <t>2024-02-28</t>
  </si>
  <si>
    <t>Smith, Emma</t>
  </si>
  <si>
    <t>ORD_2025_0015</t>
  </si>
  <si>
    <t>2024-03-27</t>
  </si>
  <si>
    <t>Davis, Sarah</t>
  </si>
  <si>
    <t>UAE</t>
  </si>
  <si>
    <t>ORD_2025_0016</t>
  </si>
  <si>
    <t>2024-09-21</t>
  </si>
  <si>
    <t>Williams, David</t>
  </si>
  <si>
    <t>Japan</t>
  </si>
  <si>
    <t>ORD_2025_0017</t>
  </si>
  <si>
    <t>2024-08-02</t>
  </si>
  <si>
    <t>ORD_2025_0018</t>
  </si>
  <si>
    <t>2024-09-29</t>
  </si>
  <si>
    <t>ORD_2025_0019</t>
  </si>
  <si>
    <t>2024-07-03</t>
  </si>
  <si>
    <t>Smith, Sarah</t>
  </si>
  <si>
    <t>ORD_2025_0020</t>
  </si>
  <si>
    <t>2025-04-23</t>
  </si>
  <si>
    <t>Table Lamp</t>
  </si>
  <si>
    <t>ORD_2025_0021</t>
  </si>
  <si>
    <t>2025-02-27</t>
  </si>
  <si>
    <t>Miller, Michael</t>
  </si>
  <si>
    <t>South Africa</t>
  </si>
  <si>
    <t>AF</t>
  </si>
  <si>
    <t>ORD_2025_0022</t>
  </si>
  <si>
    <t>2025-03-25</t>
  </si>
  <si>
    <t>Davis, David</t>
  </si>
  <si>
    <t>ORD_2025_0023</t>
  </si>
  <si>
    <t>2024-05-14</t>
  </si>
  <si>
    <t>Johnson, Sarah</t>
  </si>
  <si>
    <t>ORD_2025_0024</t>
  </si>
  <si>
    <t>2024-02-14</t>
  </si>
  <si>
    <t>Hernandez, Sophia</t>
  </si>
  <si>
    <t>ORD_2025_0025</t>
  </si>
  <si>
    <t>2025-04-24</t>
  </si>
  <si>
    <t>Williams, Daniel</t>
  </si>
  <si>
    <t>ORD_2025_0026</t>
  </si>
  <si>
    <t>2024-12-22</t>
  </si>
  <si>
    <t>Martinez, Michael</t>
  </si>
  <si>
    <t>ORD_2025_0027</t>
  </si>
  <si>
    <t>2024-06-02</t>
  </si>
  <si>
    <t>ORD_2025_0028</t>
  </si>
  <si>
    <t>2024-08-23</t>
  </si>
  <si>
    <t>Jones, Laura</t>
  </si>
  <si>
    <t>ORD_2025_0029</t>
  </si>
  <si>
    <t>2025-01-30</t>
  </si>
  <si>
    <t>Brown, Michael</t>
  </si>
  <si>
    <t>ORD_2025_0030</t>
  </si>
  <si>
    <t>2024-07-15</t>
  </si>
  <si>
    <t>ORD_2025_0031</t>
  </si>
  <si>
    <t>2025-04-22</t>
  </si>
  <si>
    <t>Miller, Laura</t>
  </si>
  <si>
    <t>France</t>
  </si>
  <si>
    <t>ORD_2025_0032</t>
  </si>
  <si>
    <t>2024-05-05</t>
  </si>
  <si>
    <t>Garcia, Sophia</t>
  </si>
  <si>
    <t>ORD_2025_0033</t>
  </si>
  <si>
    <t>2024-04-27</t>
  </si>
  <si>
    <t>Smith, Sophia</t>
  </si>
  <si>
    <t>ORD_2025_0034</t>
  </si>
  <si>
    <t>2025-01-11</t>
  </si>
  <si>
    <t>ORD_2025_0035</t>
  </si>
  <si>
    <t>2024-10-13</t>
  </si>
  <si>
    <t>Hernandez, John</t>
  </si>
  <si>
    <t>ORD_2025_0036</t>
  </si>
  <si>
    <t>2024-11-10</t>
  </si>
  <si>
    <t>Williams, Laura</t>
  </si>
  <si>
    <t>ORD_2025_0037</t>
  </si>
  <si>
    <t>2024-12-12</t>
  </si>
  <si>
    <t>Miller, David</t>
  </si>
  <si>
    <t>ORD_2025_0038</t>
  </si>
  <si>
    <t>2024-05-01</t>
  </si>
  <si>
    <t>Smith, Michael</t>
  </si>
  <si>
    <t>ORD_2025_0039</t>
  </si>
  <si>
    <t>2025-01-27</t>
  </si>
  <si>
    <t>Martinez, Sarah</t>
  </si>
  <si>
    <t>ORD_2025_0040</t>
  </si>
  <si>
    <t>2024-05-02</t>
  </si>
  <si>
    <t>Garcia, Emily</t>
  </si>
  <si>
    <t>ORD_2025_0041</t>
  </si>
  <si>
    <t>2025-04-15</t>
  </si>
  <si>
    <t>Williams, Emma</t>
  </si>
  <si>
    <t>ORD_2025_0042</t>
  </si>
  <si>
    <t>ORD_2025_0043</t>
  </si>
  <si>
    <t>2024-05-29</t>
  </si>
  <si>
    <t>ORD_2025_0044</t>
  </si>
  <si>
    <t>2025-03-29</t>
  </si>
  <si>
    <t>Australia</t>
  </si>
  <si>
    <t>OC</t>
  </si>
  <si>
    <t>ORD_2025_0045</t>
  </si>
  <si>
    <t>2024-12-06</t>
  </si>
  <si>
    <t>ORD_2025_0046</t>
  </si>
  <si>
    <t>2024-02-27</t>
  </si>
  <si>
    <t>ORD_2025_0047</t>
  </si>
  <si>
    <t>2024-11-26</t>
  </si>
  <si>
    <t>ORD_2025_0048</t>
  </si>
  <si>
    <t>2024-07-23</t>
  </si>
  <si>
    <t>Smith, Daniel</t>
  </si>
  <si>
    <t>ORD_2025_0049</t>
  </si>
  <si>
    <t>2024-12-23</t>
  </si>
  <si>
    <t>Jones, David</t>
  </si>
  <si>
    <t>ORD_2025_0050</t>
  </si>
  <si>
    <t>2024-01-08</t>
  </si>
  <si>
    <t>Brown, Sarah</t>
  </si>
  <si>
    <t>ORD_2025_0051</t>
  </si>
  <si>
    <t>2025-04-20</t>
  </si>
  <si>
    <t>ORD_2025_0052</t>
  </si>
  <si>
    <t>2024-07-07</t>
  </si>
  <si>
    <t>Martinez, Emma</t>
  </si>
  <si>
    <t>ORD_2025_0053</t>
  </si>
  <si>
    <t>2024-11-03</t>
  </si>
  <si>
    <t>ORD_2025_0054</t>
  </si>
  <si>
    <t>2024-11-06</t>
  </si>
  <si>
    <t>Johnson, Daniel</t>
  </si>
  <si>
    <t>ORD_2025_0055</t>
  </si>
  <si>
    <t>2025-04-18</t>
  </si>
  <si>
    <t>Jones, Sophia</t>
  </si>
  <si>
    <t>ORD_2025_0056</t>
  </si>
  <si>
    <t>2024-09-08</t>
  </si>
  <si>
    <t>Garcia, Sarah</t>
  </si>
  <si>
    <t>ORD_2025_0057</t>
  </si>
  <si>
    <t>2024-05-06</t>
  </si>
  <si>
    <t>Germany</t>
  </si>
  <si>
    <t>ORD_2025_0058</t>
  </si>
  <si>
    <t>2024-05-13</t>
  </si>
  <si>
    <t>ORD_2025_0059</t>
  </si>
  <si>
    <t>2024-07-20</t>
  </si>
  <si>
    <t>Williams, Michael</t>
  </si>
  <si>
    <t>ORD_2025_0060</t>
  </si>
  <si>
    <t>2025-04-05</t>
  </si>
  <si>
    <t>Hernandez, James</t>
  </si>
  <si>
    <t>ORD_2025_0061</t>
  </si>
  <si>
    <t>2025-03-20</t>
  </si>
  <si>
    <t>Williams, Sarah</t>
  </si>
  <si>
    <t>ORD_2025_0062</t>
  </si>
  <si>
    <t>2024-08-11</t>
  </si>
  <si>
    <t>ORD_2025_0063</t>
  </si>
  <si>
    <t>2024-03-18</t>
  </si>
  <si>
    <t>Williams, Emily</t>
  </si>
  <si>
    <t>ORD_2025_0064</t>
  </si>
  <si>
    <t>2025-04-09</t>
  </si>
  <si>
    <t>ORD_2025_0065</t>
  </si>
  <si>
    <t>2024-10-14</t>
  </si>
  <si>
    <t>ORD_2025_0066</t>
  </si>
  <si>
    <t>2024-12-21</t>
  </si>
  <si>
    <t>ORD_2025_0067</t>
  </si>
  <si>
    <t>2025-03-03</t>
  </si>
  <si>
    <t>Brown, Daniel</t>
  </si>
  <si>
    <t>ORD_2025_0068</t>
  </si>
  <si>
    <t>2024-03-11</t>
  </si>
  <si>
    <t>Martinez, Daniel</t>
  </si>
  <si>
    <t>ORD_2025_0069</t>
  </si>
  <si>
    <t>2024-08-28</t>
  </si>
  <si>
    <t>Jones, Michael</t>
  </si>
  <si>
    <t>ORD_2025_0070</t>
  </si>
  <si>
    <t>2024-06-15</t>
  </si>
  <si>
    <t>ORD_2025_0071</t>
  </si>
  <si>
    <t>2024-08-14</t>
  </si>
  <si>
    <t>Garcia, Michael</t>
  </si>
  <si>
    <t>ORD_2025_0072</t>
  </si>
  <si>
    <t>2024-06-03</t>
  </si>
  <si>
    <t>ORD_2025_0073</t>
  </si>
  <si>
    <t>2024-06-07</t>
  </si>
  <si>
    <t>Smith, David</t>
  </si>
  <si>
    <t>India</t>
  </si>
  <si>
    <t>ORD_2025_0074</t>
  </si>
  <si>
    <t>2024-10-04</t>
  </si>
  <si>
    <t>Miller, Sophia</t>
  </si>
  <si>
    <t>ORD_2025_0075</t>
  </si>
  <si>
    <t>2024-01-02</t>
  </si>
  <si>
    <t>Garcia, Laura</t>
  </si>
  <si>
    <t>ORD_2025_0076</t>
  </si>
  <si>
    <t>Davis, Michael</t>
  </si>
  <si>
    <t>ORD_2025_0077</t>
  </si>
  <si>
    <t>2024-11-24</t>
  </si>
  <si>
    <t>ORD_2025_0078</t>
  </si>
  <si>
    <t>2024-11-02</t>
  </si>
  <si>
    <t>ORD_2025_0079</t>
  </si>
  <si>
    <t>2025-03-21</t>
  </si>
  <si>
    <t>ORD_2025_0080</t>
  </si>
  <si>
    <t>2024-01-06</t>
  </si>
  <si>
    <t>ORD_2025_0081</t>
  </si>
  <si>
    <t>2024-09-28</t>
  </si>
  <si>
    <t>Davis, Emma</t>
  </si>
  <si>
    <t>ORD_2025_0082</t>
  </si>
  <si>
    <t>2025-02-28</t>
  </si>
  <si>
    <t>ORD_2025_0083</t>
  </si>
  <si>
    <t>ORD_2025_0084</t>
  </si>
  <si>
    <t>2024-11-18</t>
  </si>
  <si>
    <t>Hernandez, Laura</t>
  </si>
  <si>
    <t>ORD_2025_0085</t>
  </si>
  <si>
    <t>2024-11-12</t>
  </si>
  <si>
    <t>ORD_2025_0086</t>
  </si>
  <si>
    <t>2024-11-01</t>
  </si>
  <si>
    <t>ORD_2025_0087</t>
  </si>
  <si>
    <t>ORD_2025_0088</t>
  </si>
  <si>
    <t>2025-02-21</t>
  </si>
  <si>
    <t>ORD_2025_0089</t>
  </si>
  <si>
    <t>2025-03-08</t>
  </si>
  <si>
    <t>Davis, Emily</t>
  </si>
  <si>
    <t>ORD_2025_0090</t>
  </si>
  <si>
    <t>2025-03-15</t>
  </si>
  <si>
    <t>ORD_2025_0091</t>
  </si>
  <si>
    <t>Johnson, James</t>
  </si>
  <si>
    <t>ORD_2025_0092</t>
  </si>
  <si>
    <t>Martinez, Sophia</t>
  </si>
  <si>
    <t>ORD_2025_0093</t>
  </si>
  <si>
    <t>2024-07-29</t>
  </si>
  <si>
    <t>ORD_2025_0094</t>
  </si>
  <si>
    <t>2025-04-08</t>
  </si>
  <si>
    <t>Miller, Sarah</t>
  </si>
  <si>
    <t>ORD_2025_0095</t>
  </si>
  <si>
    <t>2024-09-14</t>
  </si>
  <si>
    <t>Williams, James</t>
  </si>
  <si>
    <t>ORD_2025_0096</t>
  </si>
  <si>
    <t>2025-03-01</t>
  </si>
  <si>
    <t>Garcia, Emma</t>
  </si>
  <si>
    <t>ORD_2025_0097</t>
  </si>
  <si>
    <t>2024-07-28</t>
  </si>
  <si>
    <t>ORD_2025_0098</t>
  </si>
  <si>
    <t>2024-08-01</t>
  </si>
  <si>
    <t>ORD_2025_0099</t>
  </si>
  <si>
    <t>2025-04-02</t>
  </si>
  <si>
    <t>ORD_2025_0100</t>
  </si>
  <si>
    <t>2024-10-25</t>
  </si>
  <si>
    <t>ORD_2025_0101</t>
  </si>
  <si>
    <t>2024-06-25</t>
  </si>
  <si>
    <t>ORD_2025_0102</t>
  </si>
  <si>
    <t>ORD_2025_0103</t>
  </si>
  <si>
    <t>2024-07-30</t>
  </si>
  <si>
    <t>ORD_2025_0104</t>
  </si>
  <si>
    <t>2024-08-24</t>
  </si>
  <si>
    <t>ORD_2025_0105</t>
  </si>
  <si>
    <t>2024-09-11</t>
  </si>
  <si>
    <t>Johnson, David</t>
  </si>
  <si>
    <t>ORD_2025_0106</t>
  </si>
  <si>
    <t>2025-02-04</t>
  </si>
  <si>
    <t>ORD_2025_0107</t>
  </si>
  <si>
    <t>2024-04-02</t>
  </si>
  <si>
    <t>ORD_2025_0108</t>
  </si>
  <si>
    <t>2024-09-22</t>
  </si>
  <si>
    <t>ORD_2025_0109</t>
  </si>
  <si>
    <t>Miller, Emily</t>
  </si>
  <si>
    <t>ORD_2025_0110</t>
  </si>
  <si>
    <t>2024-10-26</t>
  </si>
  <si>
    <t>ORD_2025_0111</t>
  </si>
  <si>
    <t>2024-09-30</t>
  </si>
  <si>
    <t>ORD_2025_0112</t>
  </si>
  <si>
    <t>2024-06-29</t>
  </si>
  <si>
    <t>ORD_2025_0113</t>
  </si>
  <si>
    <t>2025-01-07</t>
  </si>
  <si>
    <t>Martinez, Emily</t>
  </si>
  <si>
    <t>ORD_2025_0114</t>
  </si>
  <si>
    <t>2024-11-15</t>
  </si>
  <si>
    <t>Hernandez, Daniel</t>
  </si>
  <si>
    <t>ORD_2025_0115</t>
  </si>
  <si>
    <t>ORD_2025_0116</t>
  </si>
  <si>
    <t>2024-02-07</t>
  </si>
  <si>
    <t>ORD_2025_0117</t>
  </si>
  <si>
    <t>ORD_2025_0118</t>
  </si>
  <si>
    <t>ORD_2025_0119</t>
  </si>
  <si>
    <t>ORD_2025_0120</t>
  </si>
  <si>
    <t>2025-04-12</t>
  </si>
  <si>
    <t>Hernandez, David</t>
  </si>
  <si>
    <t>ORD_2025_0121</t>
  </si>
  <si>
    <t>2024-07-24</t>
  </si>
  <si>
    <t>ORD_2025_0122</t>
  </si>
  <si>
    <t>ORD_2025_0123</t>
  </si>
  <si>
    <t>2025-01-04</t>
  </si>
  <si>
    <t>ORD_2025_0124</t>
  </si>
  <si>
    <t>2024-12-17</t>
  </si>
  <si>
    <t>ORD_2025_0125</t>
  </si>
  <si>
    <t>2024-12-29</t>
  </si>
  <si>
    <t>Martinez, John</t>
  </si>
  <si>
    <t>ORD_2025_0126</t>
  </si>
  <si>
    <t>2024-08-31</t>
  </si>
  <si>
    <t>ORD_2025_0127</t>
  </si>
  <si>
    <t>2025-01-25</t>
  </si>
  <si>
    <t>Garcia, David</t>
  </si>
  <si>
    <t>ORD_2025_0128</t>
  </si>
  <si>
    <t>2024-11-29</t>
  </si>
  <si>
    <t>ORD_2025_0129</t>
  </si>
  <si>
    <t>2025-04-11</t>
  </si>
  <si>
    <t>ORD_2025_0130</t>
  </si>
  <si>
    <t>2025-04-13</t>
  </si>
  <si>
    <t>ORD_2025_0131</t>
  </si>
  <si>
    <t>2024-10-05</t>
  </si>
  <si>
    <t>ORD_2025_0132</t>
  </si>
  <si>
    <t>2025-04-16</t>
  </si>
  <si>
    <t>ORD_2025_0133</t>
  </si>
  <si>
    <t>2024-07-11</t>
  </si>
  <si>
    <t>ORD_2025_0134</t>
  </si>
  <si>
    <t>Smith, James</t>
  </si>
  <si>
    <t>ORD_2025_0135</t>
  </si>
  <si>
    <t>2024-12-25</t>
  </si>
  <si>
    <t>ORD_2025_0136</t>
  </si>
  <si>
    <t>2024-07-27</t>
  </si>
  <si>
    <t>ORD_2025_0137</t>
  </si>
  <si>
    <t>2024-01-10</t>
  </si>
  <si>
    <t>Brown, Emily</t>
  </si>
  <si>
    <t>ORD_2025_0138</t>
  </si>
  <si>
    <t>2024-12-27</t>
  </si>
  <si>
    <t>ORD_2025_0139</t>
  </si>
  <si>
    <t>2025-01-14</t>
  </si>
  <si>
    <t>ORD_2025_0140</t>
  </si>
  <si>
    <t>2024-08-22</t>
  </si>
  <si>
    <t>ORD_2025_0141</t>
  </si>
  <si>
    <t>ORD_2025_0142</t>
  </si>
  <si>
    <t>2025-01-13</t>
  </si>
  <si>
    <t>ORD_2025_0143</t>
  </si>
  <si>
    <t>Brown, James</t>
  </si>
  <si>
    <t>ORD_2025_0144</t>
  </si>
  <si>
    <t>ORD_2025_0145</t>
  </si>
  <si>
    <t>2024-12-10</t>
  </si>
  <si>
    <t>ORD_2025_0146</t>
  </si>
  <si>
    <t>2024-07-19</t>
  </si>
  <si>
    <t>ORD_2025_0147</t>
  </si>
  <si>
    <t>2024-05-23</t>
  </si>
  <si>
    <t>ORD_2025_0148</t>
  </si>
  <si>
    <t>Johnson, Sophia</t>
  </si>
  <si>
    <t>ORD_2025_0149</t>
  </si>
  <si>
    <t>2024-10-08</t>
  </si>
  <si>
    <t>Davis, Sophia</t>
  </si>
  <si>
    <t>ORD_2025_0150</t>
  </si>
  <si>
    <t>Jones, Daniel</t>
  </si>
  <si>
    <t>ORD_2025_0151</t>
  </si>
  <si>
    <t>2024-02-29</t>
  </si>
  <si>
    <t>ORD_2025_0152</t>
  </si>
  <si>
    <t>2024-03-03</t>
  </si>
  <si>
    <t>Davis, Laura</t>
  </si>
  <si>
    <t>ORD_2025_0153</t>
  </si>
  <si>
    <t>2024-03-26</t>
  </si>
  <si>
    <t>ORD_2025_0154</t>
  </si>
  <si>
    <t>2025-02-09</t>
  </si>
  <si>
    <t>ORD_2025_0155</t>
  </si>
  <si>
    <t>ORD_2025_0156</t>
  </si>
  <si>
    <t>2024-12-03</t>
  </si>
  <si>
    <t>Hernandez, Michael</t>
  </si>
  <si>
    <t>ORD_2025_0157</t>
  </si>
  <si>
    <t>2024-10-17</t>
  </si>
  <si>
    <t>ORD_2025_0158</t>
  </si>
  <si>
    <t>ORD_2025_0159</t>
  </si>
  <si>
    <t>2024-10-15</t>
  </si>
  <si>
    <t>ORD_2025_0160</t>
  </si>
  <si>
    <t>Brown, John</t>
  </si>
  <si>
    <t>ORD_2025_0161</t>
  </si>
  <si>
    <t>2024-07-01</t>
  </si>
  <si>
    <t>Martinez, David</t>
  </si>
  <si>
    <t>ORD_2025_0162</t>
  </si>
  <si>
    <t>2024-02-01</t>
  </si>
  <si>
    <t>ORD_2025_0163</t>
  </si>
  <si>
    <t>2024-06-23</t>
  </si>
  <si>
    <t>ORD_2025_0164</t>
  </si>
  <si>
    <t>Johnson, Emily</t>
  </si>
  <si>
    <t>ORD_2025_0165</t>
  </si>
  <si>
    <t>2024-02-12</t>
  </si>
  <si>
    <t>ORD_2025_0166</t>
  </si>
  <si>
    <t>Garcia, John</t>
  </si>
  <si>
    <t>ORD_2025_0167</t>
  </si>
  <si>
    <t>2024-08-21</t>
  </si>
  <si>
    <t>ORD_2025_0168</t>
  </si>
  <si>
    <t>2025-05-11</t>
  </si>
  <si>
    <t>Jones, Emily</t>
  </si>
  <si>
    <t>ORD_2025_0169</t>
  </si>
  <si>
    <t>2024-11-20</t>
  </si>
  <si>
    <t>ORD_2025_0170</t>
  </si>
  <si>
    <t>2024-04-23</t>
  </si>
  <si>
    <t>Miller, James</t>
  </si>
  <si>
    <t>ORD_2025_0171</t>
  </si>
  <si>
    <t>ORD_2025_0172</t>
  </si>
  <si>
    <t>2024-02-13</t>
  </si>
  <si>
    <t>ORD_2025_0173</t>
  </si>
  <si>
    <t>ORD_2025_0174</t>
  </si>
  <si>
    <t>2024-10-31</t>
  </si>
  <si>
    <t>ORD_2025_0175</t>
  </si>
  <si>
    <t>2024-08-26</t>
  </si>
  <si>
    <t>ORD_2025_0176</t>
  </si>
  <si>
    <t>2024-10-27</t>
  </si>
  <si>
    <t>ORD_2025_0177</t>
  </si>
  <si>
    <t>2024-02-26</t>
  </si>
  <si>
    <t>ORD_2025_0178</t>
  </si>
  <si>
    <t>Hernandez, Sarah</t>
  </si>
  <si>
    <t>ORD_2025_0179</t>
  </si>
  <si>
    <t>ORD_2025_0180</t>
  </si>
  <si>
    <t>2024-09-07</t>
  </si>
  <si>
    <t>ORD_2025_0181</t>
  </si>
  <si>
    <t>2024-11-21</t>
  </si>
  <si>
    <t>Davis, Daniel</t>
  </si>
  <si>
    <t>ORD_2025_0182</t>
  </si>
  <si>
    <t>ORD_2025_0183</t>
  </si>
  <si>
    <t>2024-03-16</t>
  </si>
  <si>
    <t>ORD_2025_0184</t>
  </si>
  <si>
    <t>2024-03-21</t>
  </si>
  <si>
    <t>Miller, Emma</t>
  </si>
  <si>
    <t>ORD_2025_0185</t>
  </si>
  <si>
    <t>ORD_2025_0186</t>
  </si>
  <si>
    <t>ORD_2025_0187</t>
  </si>
  <si>
    <t>2024-04-14</t>
  </si>
  <si>
    <t>ORD_2025_0188</t>
  </si>
  <si>
    <t>2024-03-30</t>
  </si>
  <si>
    <t>ORD_2025_0189</t>
  </si>
  <si>
    <t>ORD_2025_0190</t>
  </si>
  <si>
    <t>2024-04-20</t>
  </si>
  <si>
    <t>Garcia, Daniel</t>
  </si>
  <si>
    <t>ORD_2025_0191</t>
  </si>
  <si>
    <t>ORD_2025_0192</t>
  </si>
  <si>
    <t>2025-03-28</t>
  </si>
  <si>
    <t>ORD_2025_0193</t>
  </si>
  <si>
    <t>ORD_2025_0194</t>
  </si>
  <si>
    <t>2024-12-18</t>
  </si>
  <si>
    <t>ORD_2025_0195</t>
  </si>
  <si>
    <t>ORD_2025_0196</t>
  </si>
  <si>
    <t>2024-05-24</t>
  </si>
  <si>
    <t>ORD_2025_0197</t>
  </si>
  <si>
    <t>2024-12-09</t>
  </si>
  <si>
    <t>ORD_2025_0198</t>
  </si>
  <si>
    <t>2025-04-29</t>
  </si>
  <si>
    <t>ORD_2025_0199</t>
  </si>
  <si>
    <t>2025-05-05</t>
  </si>
  <si>
    <t>ORD_2025_0200</t>
  </si>
  <si>
    <t>ORD_2025_0201</t>
  </si>
  <si>
    <t>Jones, Sarah</t>
  </si>
  <si>
    <t>ORD_2025_0202</t>
  </si>
  <si>
    <t>2024-04-07</t>
  </si>
  <si>
    <t>ORD_2025_0203</t>
  </si>
  <si>
    <t>2025-03-22</t>
  </si>
  <si>
    <t>ORD_2025_0204</t>
  </si>
  <si>
    <t>ORD_2025_0205</t>
  </si>
  <si>
    <t>ORD_2025_0206</t>
  </si>
  <si>
    <t>2025-01-28</t>
  </si>
  <si>
    <t>ORD_2025_0207</t>
  </si>
  <si>
    <t>ORD_2025_0208</t>
  </si>
  <si>
    <t>2024-05-19</t>
  </si>
  <si>
    <t>ORD_2025_0209</t>
  </si>
  <si>
    <t>2024-02-15</t>
  </si>
  <si>
    <t>ORD_2025_0210</t>
  </si>
  <si>
    <t>2025-04-03</t>
  </si>
  <si>
    <t>ORD_2025_0211</t>
  </si>
  <si>
    <t>2024-07-05</t>
  </si>
  <si>
    <t>ORD_2025_0212</t>
  </si>
  <si>
    <t>2024-03-06</t>
  </si>
  <si>
    <t>Brown, David</t>
  </si>
  <si>
    <t>ORD_2025_0213</t>
  </si>
  <si>
    <t>2024-09-20</t>
  </si>
  <si>
    <t>ORD_2025_0214</t>
  </si>
  <si>
    <t>2024-11-22</t>
  </si>
  <si>
    <t>ORD_2025_0215</t>
  </si>
  <si>
    <t>ORD_2025_0216</t>
  </si>
  <si>
    <t>ORD_2025_0217</t>
  </si>
  <si>
    <t>2024-10-02</t>
  </si>
  <si>
    <t>Johnson, John</t>
  </si>
  <si>
    <t>ORD_2025_0218</t>
  </si>
  <si>
    <t>2024-12-15</t>
  </si>
  <si>
    <t>ORD_2025_0219</t>
  </si>
  <si>
    <t>ORD_2025_0220</t>
  </si>
  <si>
    <t>2024-10-22</t>
  </si>
  <si>
    <t>Brown, Sophia</t>
  </si>
  <si>
    <t>ORD_2025_0221</t>
  </si>
  <si>
    <t>ORD_2025_0222</t>
  </si>
  <si>
    <t>2025-01-06</t>
  </si>
  <si>
    <t>ORD_2025_0223</t>
  </si>
  <si>
    <t>2025-05-07</t>
  </si>
  <si>
    <t>ORD_2025_0224</t>
  </si>
  <si>
    <t>2024-09-19</t>
  </si>
  <si>
    <t>ORD_2025_0225</t>
  </si>
  <si>
    <t>2024-03-23</t>
  </si>
  <si>
    <t>ORD_2025_0226</t>
  </si>
  <si>
    <t>2024-08-18</t>
  </si>
  <si>
    <t>Jones, Emma</t>
  </si>
  <si>
    <t>ORD_2025_0227</t>
  </si>
  <si>
    <t>2024-11-07</t>
  </si>
  <si>
    <t>ORD_2025_0228</t>
  </si>
  <si>
    <t>2025-03-02</t>
  </si>
  <si>
    <t>ORD_2025_0229</t>
  </si>
  <si>
    <t>ORD_2025_0230</t>
  </si>
  <si>
    <t>ORD_2025_0231</t>
  </si>
  <si>
    <t>ORD_2025_0232</t>
  </si>
  <si>
    <t>ORD_2025_0233</t>
  </si>
  <si>
    <t>2025-03-07</t>
  </si>
  <si>
    <t>ORD_2025_0234</t>
  </si>
  <si>
    <t>2025-01-08</t>
  </si>
  <si>
    <t>ORD_2025_0235</t>
  </si>
  <si>
    <t>ORD_2025_0236</t>
  </si>
  <si>
    <t>ORD_2025_0237</t>
  </si>
  <si>
    <t>2024-02-09</t>
  </si>
  <si>
    <t>ORD_2025_0238</t>
  </si>
  <si>
    <t>ORD_2025_0239</t>
  </si>
  <si>
    <t>ORD_2025_0240</t>
  </si>
  <si>
    <t>2025-05-12</t>
  </si>
  <si>
    <t>ORD_2025_0241</t>
  </si>
  <si>
    <t>2024-07-26</t>
  </si>
  <si>
    <t>ORD_2025_0242</t>
  </si>
  <si>
    <t>2025-02-03</t>
  </si>
  <si>
    <t>ORD_2025_0243</t>
  </si>
  <si>
    <t>2024-06-14</t>
  </si>
  <si>
    <t>Johnson, Laura</t>
  </si>
  <si>
    <t>ORD_2025_0244</t>
  </si>
  <si>
    <t>2025-02-19</t>
  </si>
  <si>
    <t>ORD_2025_0245</t>
  </si>
  <si>
    <t>2024-06-22</t>
  </si>
  <si>
    <t>ORD_2025_0246</t>
  </si>
  <si>
    <t>ORD_2025_0247</t>
  </si>
  <si>
    <t>2024-11-05</t>
  </si>
  <si>
    <t>ORD_2025_0248</t>
  </si>
  <si>
    <t>ORD_2025_0249</t>
  </si>
  <si>
    <t>2024-01-15</t>
  </si>
  <si>
    <t>ORD_2025_0250</t>
  </si>
  <si>
    <t>2025-02-23</t>
  </si>
  <si>
    <t>ORD_2025_0251</t>
  </si>
  <si>
    <t>2024-06-28</t>
  </si>
  <si>
    <t>ORD_2025_0252</t>
  </si>
  <si>
    <t>2024-01-19</t>
  </si>
  <si>
    <t>Smith, John</t>
  </si>
  <si>
    <t>ORD_2025_0253</t>
  </si>
  <si>
    <t>ORD_2025_0254</t>
  </si>
  <si>
    <t>2024-02-25</t>
  </si>
  <si>
    <t>ORD_2025_0255</t>
  </si>
  <si>
    <t>ORD_2025_0256</t>
  </si>
  <si>
    <t>ORD_2025_0257</t>
  </si>
  <si>
    <t>ORD_2025_0258</t>
  </si>
  <si>
    <t>2024-01-13</t>
  </si>
  <si>
    <t>ORD_2025_0259</t>
  </si>
  <si>
    <t>2024-09-23</t>
  </si>
  <si>
    <t>ORD_2025_0260</t>
  </si>
  <si>
    <t>2024-10-10</t>
  </si>
  <si>
    <t>Williams, Sophia</t>
  </si>
  <si>
    <t>ORD_2025_0261</t>
  </si>
  <si>
    <t>2024-06-26</t>
  </si>
  <si>
    <t>Garcia, James</t>
  </si>
  <si>
    <t>ORD_2025_0262</t>
  </si>
  <si>
    <t>2024-01-05</t>
  </si>
  <si>
    <t>ORD_2025_0263</t>
  </si>
  <si>
    <t>2024-09-09</t>
  </si>
  <si>
    <t>ORD_2025_0264</t>
  </si>
  <si>
    <t>2024-05-04</t>
  </si>
  <si>
    <t>ORD_2025_0265</t>
  </si>
  <si>
    <t>2024-03-31</t>
  </si>
  <si>
    <t>ORD_2025_0266</t>
  </si>
  <si>
    <t>2024-12-31</t>
  </si>
  <si>
    <t>ORD_2025_0267</t>
  </si>
  <si>
    <t>2024-03-09</t>
  </si>
  <si>
    <t>ORD_2025_0268</t>
  </si>
  <si>
    <t>2025-04-30</t>
  </si>
  <si>
    <t>ORD_2025_0269</t>
  </si>
  <si>
    <t>2024-04-09</t>
  </si>
  <si>
    <t>ORD_2025_0270</t>
  </si>
  <si>
    <t>2025-03-17</t>
  </si>
  <si>
    <t>ORD_2025_0271</t>
  </si>
  <si>
    <t>Smith, Laura</t>
  </si>
  <si>
    <t>ORD_2025_0272</t>
  </si>
  <si>
    <t>2025-04-27</t>
  </si>
  <si>
    <t>ORD_2025_0273</t>
  </si>
  <si>
    <t>2024-10-06</t>
  </si>
  <si>
    <t>ORD_2025_0274</t>
  </si>
  <si>
    <t>2024-06-17</t>
  </si>
  <si>
    <t>ORD_2025_0275</t>
  </si>
  <si>
    <t>ORD_2025_0276</t>
  </si>
  <si>
    <t>2024-11-13</t>
  </si>
  <si>
    <t>ORD_2025_0277</t>
  </si>
  <si>
    <t>ORD_2025_0278</t>
  </si>
  <si>
    <t>ORD_2025_0279</t>
  </si>
  <si>
    <t>2024-06-04</t>
  </si>
  <si>
    <t>ORD_2025_0280</t>
  </si>
  <si>
    <t>ORD_2025_0281</t>
  </si>
  <si>
    <t>2025-05-14</t>
  </si>
  <si>
    <t>ORD_2025_0282</t>
  </si>
  <si>
    <t>ORD_2025_0283</t>
  </si>
  <si>
    <t>ORD_2025_0284</t>
  </si>
  <si>
    <t>2024-01-30</t>
  </si>
  <si>
    <t>ORD_2025_0285</t>
  </si>
  <si>
    <t>2024-12-30</t>
  </si>
  <si>
    <t>ORD_2025_0286</t>
  </si>
  <si>
    <t>ORD_2025_0287</t>
  </si>
  <si>
    <t>2024-05-03</t>
  </si>
  <si>
    <t>ORD_2025_0288</t>
  </si>
  <si>
    <t>ORD_2025_0289</t>
  </si>
  <si>
    <t>2024-01-25</t>
  </si>
  <si>
    <t>ORD_2025_0290</t>
  </si>
  <si>
    <t>2024-06-16</t>
  </si>
  <si>
    <t>ORD_2025_0291</t>
  </si>
  <si>
    <t>ORD_2025_0292</t>
  </si>
  <si>
    <t>2024-07-21</t>
  </si>
  <si>
    <t>ORD_2025_0293</t>
  </si>
  <si>
    <t>2024-04-19</t>
  </si>
  <si>
    <t>ORD_2025_0294</t>
  </si>
  <si>
    <t>2025-02-10</t>
  </si>
  <si>
    <t>ORD_2025_0295</t>
  </si>
  <si>
    <t>ORD_2025_0296</t>
  </si>
  <si>
    <t>2024-09-27</t>
  </si>
  <si>
    <t>ORD_2025_0297</t>
  </si>
  <si>
    <t>ORD_2025_0298</t>
  </si>
  <si>
    <t>ORD_2025_0299</t>
  </si>
  <si>
    <t>ORD_2025_0300</t>
  </si>
  <si>
    <t>ORD_2025_0301</t>
  </si>
  <si>
    <t>2024-11-16</t>
  </si>
  <si>
    <t>ORD_2025_0302</t>
  </si>
  <si>
    <t>2024-07-12</t>
  </si>
  <si>
    <t>ORD_2025_0303</t>
  </si>
  <si>
    <t>ORD_2025_0304</t>
  </si>
  <si>
    <t>ORD_2025_0305</t>
  </si>
  <si>
    <t>2025-04-21</t>
  </si>
  <si>
    <t>ORD_2025_0306</t>
  </si>
  <si>
    <t>ORD_2025_0307</t>
  </si>
  <si>
    <t>ORD_2025_0308</t>
  </si>
  <si>
    <t>ORD_2025_0309</t>
  </si>
  <si>
    <t>2025-04-17</t>
  </si>
  <si>
    <t>ORD_2025_0310</t>
  </si>
  <si>
    <t>ORD_2025_0311</t>
  </si>
  <si>
    <t>2024-07-09</t>
  </si>
  <si>
    <t>ORD_2025_0312</t>
  </si>
  <si>
    <t>2025-03-27</t>
  </si>
  <si>
    <t>ORD_2025_0313</t>
  </si>
  <si>
    <t>ORD_2025_0314</t>
  </si>
  <si>
    <t>2024-03-29</t>
  </si>
  <si>
    <t>Jones, James</t>
  </si>
  <si>
    <t>ORD_2025_0315</t>
  </si>
  <si>
    <t>2024-07-08</t>
  </si>
  <si>
    <t>ORD_2025_0316</t>
  </si>
  <si>
    <t>2024-01-20</t>
  </si>
  <si>
    <t>ORD_2025_0317</t>
  </si>
  <si>
    <t>ORD_2025_0318</t>
  </si>
  <si>
    <t>ORD_2025_0319</t>
  </si>
  <si>
    <t>2024-10-03</t>
  </si>
  <si>
    <t>ORD_2025_0320</t>
  </si>
  <si>
    <t>ORD_2025_0321</t>
  </si>
  <si>
    <t>Jones, John</t>
  </si>
  <si>
    <t>ORD_2025_0322</t>
  </si>
  <si>
    <t>2024-10-19</t>
  </si>
  <si>
    <t>ORD_2025_0323</t>
  </si>
  <si>
    <t>ORD_2025_0324</t>
  </si>
  <si>
    <t>ORD_2025_0325</t>
  </si>
  <si>
    <t>2024-09-03</t>
  </si>
  <si>
    <t>ORD_2025_0326</t>
  </si>
  <si>
    <t>ORD_2025_0327</t>
  </si>
  <si>
    <t>2024-09-10</t>
  </si>
  <si>
    <t>ORD_2025_0328</t>
  </si>
  <si>
    <t>2025-01-23</t>
  </si>
  <si>
    <t>ORD_2025_0329</t>
  </si>
  <si>
    <t>ORD_2025_0330</t>
  </si>
  <si>
    <t>Hernandez, Emily</t>
  </si>
  <si>
    <t>ORD_2025_0331</t>
  </si>
  <si>
    <t>2024-08-15</t>
  </si>
  <si>
    <t>ORD_2025_0332</t>
  </si>
  <si>
    <t>2024-09-24</t>
  </si>
  <si>
    <t>ORD_2025_0333</t>
  </si>
  <si>
    <t>ORD_2025_0334</t>
  </si>
  <si>
    <t>ORD_2025_0335</t>
  </si>
  <si>
    <t>ORD_2025_0336</t>
  </si>
  <si>
    <t>2024-09-04</t>
  </si>
  <si>
    <t>ORD_2025_0337</t>
  </si>
  <si>
    <t>2025-03-18</t>
  </si>
  <si>
    <t>ORD_2025_0338</t>
  </si>
  <si>
    <t>2025-03-19</t>
  </si>
  <si>
    <t>ORD_2025_0339</t>
  </si>
  <si>
    <t>2024-10-12</t>
  </si>
  <si>
    <t>ORD_2025_0340</t>
  </si>
  <si>
    <t>ORD_2025_0341</t>
  </si>
  <si>
    <t>ORD_2025_0342</t>
  </si>
  <si>
    <t>2024-05-11</t>
  </si>
  <si>
    <t>ORD_2025_0343</t>
  </si>
  <si>
    <t>2024-07-17</t>
  </si>
  <si>
    <t>ORD_2025_0344</t>
  </si>
  <si>
    <t>ORD_2025_0345</t>
  </si>
  <si>
    <t>2025-03-24</t>
  </si>
  <si>
    <t>ORD_2025_0346</t>
  </si>
  <si>
    <t>ORD_2025_0347</t>
  </si>
  <si>
    <t>2024-04-05</t>
  </si>
  <si>
    <t>ORD_2025_0348</t>
  </si>
  <si>
    <t>2025-01-12</t>
  </si>
  <si>
    <t>ORD_2025_0349</t>
  </si>
  <si>
    <t>ORD_2025_0350</t>
  </si>
  <si>
    <t>2025-03-06</t>
  </si>
  <si>
    <t>Williams, John</t>
  </si>
  <si>
    <t>ORD_2025_0351</t>
  </si>
  <si>
    <t>ORD_2025_0352</t>
  </si>
  <si>
    <t>ORD_2025_0353</t>
  </si>
  <si>
    <t>ORD_2025_0354</t>
  </si>
  <si>
    <t>2025-05-08</t>
  </si>
  <si>
    <t>ORD_2025_0355</t>
  </si>
  <si>
    <t>ORD_2025_0356</t>
  </si>
  <si>
    <t>2024-06-11</t>
  </si>
  <si>
    <t>ORD_2025_0357</t>
  </si>
  <si>
    <t>ORD_2025_0358</t>
  </si>
  <si>
    <t>ORD_2025_0359</t>
  </si>
  <si>
    <t>ORD_2025_0360</t>
  </si>
  <si>
    <t>ORD_2025_0361</t>
  </si>
  <si>
    <t>2024-03-17</t>
  </si>
  <si>
    <t>ORD_2025_0362</t>
  </si>
  <si>
    <t>ORD_2025_0363</t>
  </si>
  <si>
    <t>ORD_2025_0364</t>
  </si>
  <si>
    <t>2024-05-25</t>
  </si>
  <si>
    <t>ORD_2025_0365</t>
  </si>
  <si>
    <t>2024-01-01</t>
  </si>
  <si>
    <t>ORD_2025_0366</t>
  </si>
  <si>
    <t>2024-08-07</t>
  </si>
  <si>
    <t>ORD_2025_0367</t>
  </si>
  <si>
    <t>ORD_2025_0368</t>
  </si>
  <si>
    <t>ORD_2025_0369</t>
  </si>
  <si>
    <t>2024-07-14</t>
  </si>
  <si>
    <t>ORD_2025_0370</t>
  </si>
  <si>
    <t>ORD_2025_0371</t>
  </si>
  <si>
    <t>ORD_2025_0372</t>
  </si>
  <si>
    <t>ORD_2025_0373</t>
  </si>
  <si>
    <t>2024-09-25</t>
  </si>
  <si>
    <t>ORD_2025_0374</t>
  </si>
  <si>
    <t>2024-03-14</t>
  </si>
  <si>
    <t>ORD_2025_0375</t>
  </si>
  <si>
    <t>2025-02-16</t>
  </si>
  <si>
    <t>ORD_2025_0376</t>
  </si>
  <si>
    <t>ORD_2025_0377</t>
  </si>
  <si>
    <t>ORD_2025_0378</t>
  </si>
  <si>
    <t>ORD_2025_0379</t>
  </si>
  <si>
    <t>2024-03-12</t>
  </si>
  <si>
    <t>ORD_2025_0380</t>
  </si>
  <si>
    <t>2024-08-29</t>
  </si>
  <si>
    <t>ORD_2025_0381</t>
  </si>
  <si>
    <t>ORD_2025_0382</t>
  </si>
  <si>
    <t>ORD_2025_0383</t>
  </si>
  <si>
    <t>2025-03-16</t>
  </si>
  <si>
    <t>ORD_2025_0384</t>
  </si>
  <si>
    <t>2024-05-16</t>
  </si>
  <si>
    <t>ORD_2025_0385</t>
  </si>
  <si>
    <t>ORD_2025_0386</t>
  </si>
  <si>
    <t>ORD_2025_0387</t>
  </si>
  <si>
    <t>ORD_2025_0388</t>
  </si>
  <si>
    <t>2024-02-17</t>
  </si>
  <si>
    <t>ORD_2025_0389</t>
  </si>
  <si>
    <t>2024-07-13</t>
  </si>
  <si>
    <t>ORD_2025_0390</t>
  </si>
  <si>
    <t>2025-02-13</t>
  </si>
  <si>
    <t>ORD_2025_0391</t>
  </si>
  <si>
    <t>ORD_2025_0392</t>
  </si>
  <si>
    <t>2024-02-16</t>
  </si>
  <si>
    <t>ORD_2025_0393</t>
  </si>
  <si>
    <t>2024-03-08</t>
  </si>
  <si>
    <t>ORD_2025_0394</t>
  </si>
  <si>
    <t>2024-11-30</t>
  </si>
  <si>
    <t>ORD_2025_0395</t>
  </si>
  <si>
    <t>ORD_2025_0396</t>
  </si>
  <si>
    <t>2024-12-19</t>
  </si>
  <si>
    <t>ORD_2025_0397</t>
  </si>
  <si>
    <t>ORD_2025_0398</t>
  </si>
  <si>
    <t>2024-06-01</t>
  </si>
  <si>
    <t>ORD_2025_0399</t>
  </si>
  <si>
    <t>2024-04-25</t>
  </si>
  <si>
    <t>ORD_2025_0400</t>
  </si>
  <si>
    <t>ORD_2025_0401</t>
  </si>
  <si>
    <t>ORD_2025_0402</t>
  </si>
  <si>
    <t>ORD_2025_0403</t>
  </si>
  <si>
    <t>ORD_2025_0404</t>
  </si>
  <si>
    <t>ORD_2025_0405</t>
  </si>
  <si>
    <t>ORD_2025_0406</t>
  </si>
  <si>
    <t>ORD_2025_0407</t>
  </si>
  <si>
    <t>2024-07-25</t>
  </si>
  <si>
    <t>ORD_2025_0408</t>
  </si>
  <si>
    <t>ORD_2025_0409</t>
  </si>
  <si>
    <t>2024-01-17</t>
  </si>
  <si>
    <t>ORD_2025_0410</t>
  </si>
  <si>
    <t>ORD_2025_0411</t>
  </si>
  <si>
    <t>2024-01-14</t>
  </si>
  <si>
    <t>ORD_2025_0412</t>
  </si>
  <si>
    <t>ORD_2025_0413</t>
  </si>
  <si>
    <t>ORD_2025_0414</t>
  </si>
  <si>
    <t>ORD_2025_0415</t>
  </si>
  <si>
    <t>2024-05-31</t>
  </si>
  <si>
    <t>ORD_2025_0416</t>
  </si>
  <si>
    <t>ORD_2025_0417</t>
  </si>
  <si>
    <t>ORD_2025_0418</t>
  </si>
  <si>
    <t>ORD_2025_0419</t>
  </si>
  <si>
    <t>2025-02-17</t>
  </si>
  <si>
    <t>ORD_2025_0420</t>
  </si>
  <si>
    <t>ORD_2025_0421</t>
  </si>
  <si>
    <t>2024-02-24</t>
  </si>
  <si>
    <t>ORD_2025_0422</t>
  </si>
  <si>
    <t>2025-05-13</t>
  </si>
  <si>
    <t>ORD_2025_0423</t>
  </si>
  <si>
    <t>ORD_2025_0424</t>
  </si>
  <si>
    <t>ORD_2025_0425</t>
  </si>
  <si>
    <t>2025-05-15</t>
  </si>
  <si>
    <t>ORD_2025_0426</t>
  </si>
  <si>
    <t>ORD_2025_0427</t>
  </si>
  <si>
    <t>2024-05-12</t>
  </si>
  <si>
    <t>ORD_2025_0428</t>
  </si>
  <si>
    <t>ORD_2025_0429</t>
  </si>
  <si>
    <t>2024-08-25</t>
  </si>
  <si>
    <t>ORD_2025_0430</t>
  </si>
  <si>
    <t>ORD_2025_0431</t>
  </si>
  <si>
    <t>ORD_2025_0432</t>
  </si>
  <si>
    <t>2024-06-27</t>
  </si>
  <si>
    <t>ORD_2025_0433</t>
  </si>
  <si>
    <t>ORD_2025_0434</t>
  </si>
  <si>
    <t>ORD_2025_0435</t>
  </si>
  <si>
    <t>ORD_2025_0436</t>
  </si>
  <si>
    <t>2024-02-03</t>
  </si>
  <si>
    <t>ORD_2025_0437</t>
  </si>
  <si>
    <t>ORD_2025_0438</t>
  </si>
  <si>
    <t>ORD_2025_0439</t>
  </si>
  <si>
    <t>ORD_2025_0440</t>
  </si>
  <si>
    <t>2025-01-22</t>
  </si>
  <si>
    <t>ORD_2025_0441</t>
  </si>
  <si>
    <t>2024-01-07</t>
  </si>
  <si>
    <t>ORD_2025_0442</t>
  </si>
  <si>
    <t>ORD_2025_0443</t>
  </si>
  <si>
    <t>2025-01-24</t>
  </si>
  <si>
    <t>ORD_2025_0444</t>
  </si>
  <si>
    <t>ORD_2025_0445</t>
  </si>
  <si>
    <t>2024-02-18</t>
  </si>
  <si>
    <t>ORD_2025_0446</t>
  </si>
  <si>
    <t>ORD_2025_0447</t>
  </si>
  <si>
    <t>ORD_2025_0448</t>
  </si>
  <si>
    <t>2024-04-04</t>
  </si>
  <si>
    <t>ORD_2025_0449</t>
  </si>
  <si>
    <t>2024-06-12</t>
  </si>
  <si>
    <t>ORD_2025_0450</t>
  </si>
  <si>
    <t>ORD_2025_0451</t>
  </si>
  <si>
    <t>ORD_2025_0452</t>
  </si>
  <si>
    <t>ORD_2025_0453</t>
  </si>
  <si>
    <t>ORD_2025_0454</t>
  </si>
  <si>
    <t>ORD_2025_0455</t>
  </si>
  <si>
    <t>ORD_2025_0456</t>
  </si>
  <si>
    <t>ORD_2025_0457</t>
  </si>
  <si>
    <t>2024-09-16</t>
  </si>
  <si>
    <t>ORD_2025_0458</t>
  </si>
  <si>
    <t>2025-01-03</t>
  </si>
  <si>
    <t>ORD_2025_0459</t>
  </si>
  <si>
    <t>2024-02-06</t>
  </si>
  <si>
    <t>ORD_2025_0460</t>
  </si>
  <si>
    <t>2024-10-20</t>
  </si>
  <si>
    <t>ORD_2025_0461</t>
  </si>
  <si>
    <t>2025-02-22</t>
  </si>
  <si>
    <t>ORD_2025_0462</t>
  </si>
  <si>
    <t>ORD_2025_0463</t>
  </si>
  <si>
    <t>ORD_2025_0464</t>
  </si>
  <si>
    <t>2024-04-15</t>
  </si>
  <si>
    <t>ORD_2025_0465</t>
  </si>
  <si>
    <t>ORD_2025_0466</t>
  </si>
  <si>
    <t>ORD_2025_0467</t>
  </si>
  <si>
    <t>ORD_2025_0468</t>
  </si>
  <si>
    <t>ORD_2025_0469</t>
  </si>
  <si>
    <t>2024-03-05</t>
  </si>
  <si>
    <t>ORD_2025_0470</t>
  </si>
  <si>
    <t>ORD_2025_0471</t>
  </si>
  <si>
    <t>ORD_2025_0472</t>
  </si>
  <si>
    <t>ORD_2025_0473</t>
  </si>
  <si>
    <t>ORD_2025_0474</t>
  </si>
  <si>
    <t>ORD_2025_0475</t>
  </si>
  <si>
    <t>2024-05-07</t>
  </si>
  <si>
    <t>ORD_2025_0476</t>
  </si>
  <si>
    <t>ORD_2025_0477</t>
  </si>
  <si>
    <t>ORD_2025_0478</t>
  </si>
  <si>
    <t>ORD_2025_0479</t>
  </si>
  <si>
    <t>ORD_2025_0480</t>
  </si>
  <si>
    <t>ORD_2025_0481</t>
  </si>
  <si>
    <t>2024-12-07</t>
  </si>
  <si>
    <t>ORD_2025_0482</t>
  </si>
  <si>
    <t>2024-03-04</t>
  </si>
  <si>
    <t>ORD_2025_0483</t>
  </si>
  <si>
    <t>ORD_2025_0484</t>
  </si>
  <si>
    <t>ORD_2025_0485</t>
  </si>
  <si>
    <t>2024-12-26</t>
  </si>
  <si>
    <t>ORD_2025_0486</t>
  </si>
  <si>
    <t>ORD_2025_0487</t>
  </si>
  <si>
    <t>2024-12-05</t>
  </si>
  <si>
    <t>ORD_2025_0488</t>
  </si>
  <si>
    <t>2024-01-21</t>
  </si>
  <si>
    <t>ORD_2025_0489</t>
  </si>
  <si>
    <t>2025-05-10</t>
  </si>
  <si>
    <t>ORD_2025_0490</t>
  </si>
  <si>
    <t>2024-09-15</t>
  </si>
  <si>
    <t>ORD_2025_0491</t>
  </si>
  <si>
    <t>2024-05-27</t>
  </si>
  <si>
    <t>ORD_2025_0492</t>
  </si>
  <si>
    <t>ORD_2025_0493</t>
  </si>
  <si>
    <t>ORD_2025_0494</t>
  </si>
  <si>
    <t>2024-04-17</t>
  </si>
  <si>
    <t>ORD_2025_0495</t>
  </si>
  <si>
    <t>2025-02-18</t>
  </si>
  <si>
    <t>ORD_2025_0496</t>
  </si>
  <si>
    <t>2024-04-13</t>
  </si>
  <si>
    <t>ORD_2025_0497</t>
  </si>
  <si>
    <t>2024-07-04</t>
  </si>
  <si>
    <t>ORD_2025_0498</t>
  </si>
  <si>
    <t>ORD_2025_0499</t>
  </si>
  <si>
    <t>2024-09-02</t>
  </si>
  <si>
    <t>ORD_2025_0500</t>
  </si>
  <si>
    <t>Product_ID</t>
  </si>
  <si>
    <t>Supplier</t>
  </si>
  <si>
    <t>Origin_Country</t>
  </si>
  <si>
    <t>Unit_Cost</t>
  </si>
  <si>
    <t>P1001</t>
  </si>
  <si>
    <t>AudioTech Ltd.</t>
  </si>
  <si>
    <t>P1002</t>
  </si>
  <si>
    <t>Artisans Co.</t>
  </si>
  <si>
    <t>P1003</t>
  </si>
  <si>
    <t>CraftLine</t>
  </si>
  <si>
    <t>P1004</t>
  </si>
  <si>
    <t>BrightHome</t>
  </si>
  <si>
    <t>Vietnam</t>
  </si>
  <si>
    <t>P1005</t>
  </si>
  <si>
    <t>SoftWeave</t>
  </si>
  <si>
    <t>Turkey</t>
  </si>
  <si>
    <t>P1006</t>
  </si>
  <si>
    <t>ClickTech</t>
  </si>
  <si>
    <t>P1007</t>
  </si>
  <si>
    <t>ClearCraft</t>
  </si>
  <si>
    <t>P1008</t>
  </si>
  <si>
    <t>CarryPro</t>
  </si>
  <si>
    <t>P1009</t>
  </si>
  <si>
    <t>P1010</t>
  </si>
  <si>
    <t>BlueWear</t>
  </si>
  <si>
    <t>Bangladesh</t>
  </si>
  <si>
    <t>COGS</t>
  </si>
  <si>
    <t>Max</t>
  </si>
  <si>
    <t>Min</t>
  </si>
  <si>
    <t>Profit Percentage</t>
  </si>
  <si>
    <t>Summary on Profit Percentage</t>
  </si>
  <si>
    <t>Avg</t>
  </si>
  <si>
    <t>First</t>
  </si>
  <si>
    <t>last</t>
  </si>
  <si>
    <t>Code</t>
  </si>
  <si>
    <t>Emily</t>
  </si>
  <si>
    <t>Laura</t>
  </si>
  <si>
    <t>John</t>
  </si>
  <si>
    <t>Daniel</t>
  </si>
  <si>
    <t>Emma</t>
  </si>
  <si>
    <t>Michael</t>
  </si>
  <si>
    <t>James</t>
  </si>
  <si>
    <t>Sarah</t>
  </si>
  <si>
    <t>David</t>
  </si>
  <si>
    <t>Sophia</t>
  </si>
  <si>
    <t>Smith</t>
  </si>
  <si>
    <t>Brown</t>
  </si>
  <si>
    <t>Davis</t>
  </si>
  <si>
    <t>Miller</t>
  </si>
  <si>
    <t>Johnson</t>
  </si>
  <si>
    <t>Hernandez</t>
  </si>
  <si>
    <t>Martinez</t>
  </si>
  <si>
    <t>Williams</t>
  </si>
  <si>
    <t>Jones</t>
  </si>
  <si>
    <t>Garcia</t>
  </si>
  <si>
    <t>Row Number</t>
  </si>
  <si>
    <t>Flag</t>
  </si>
  <si>
    <t>&gt;2000</t>
  </si>
  <si>
    <t>&gt;20</t>
  </si>
  <si>
    <t>Excellent</t>
  </si>
  <si>
    <t>&gt;10</t>
  </si>
  <si>
    <t>&lt;=20</t>
  </si>
  <si>
    <t>&lt;10</t>
  </si>
  <si>
    <t>Needs Improvement</t>
  </si>
  <si>
    <t>Good</t>
  </si>
  <si>
    <t>Region_Name</t>
  </si>
  <si>
    <t>Continent</t>
  </si>
  <si>
    <t>Manager</t>
  </si>
  <si>
    <t>North America</t>
  </si>
  <si>
    <t>America</t>
  </si>
  <si>
    <t>James Carter</t>
  </si>
  <si>
    <t>Europe</t>
  </si>
  <si>
    <t>Maria Gomez</t>
  </si>
  <si>
    <t>Asia</t>
  </si>
  <si>
    <t>Li Wei</t>
  </si>
  <si>
    <t>Africa</t>
  </si>
  <si>
    <t>Samuel Okoro</t>
  </si>
  <si>
    <t>South America</t>
  </si>
  <si>
    <t>Ana Silva</t>
  </si>
  <si>
    <t>Oceania</t>
  </si>
  <si>
    <t>Steve Taylor</t>
  </si>
  <si>
    <t>Month</t>
  </si>
  <si>
    <t>Total_Profit</t>
  </si>
  <si>
    <t>Shipments</t>
  </si>
  <si>
    <t>Returns</t>
  </si>
  <si>
    <t>2024-02</t>
  </si>
  <si>
    <t>2024-03</t>
  </si>
  <si>
    <t>2024-04</t>
  </si>
  <si>
    <t>2024-06</t>
  </si>
  <si>
    <t>2024-07</t>
  </si>
  <si>
    <t>2024-09</t>
  </si>
  <si>
    <t>2024-10</t>
  </si>
  <si>
    <t>2024-11</t>
  </si>
  <si>
    <t>2024-12</t>
  </si>
  <si>
    <t>2025-01</t>
  </si>
  <si>
    <t>2025-02</t>
  </si>
  <si>
    <t>2025-03</t>
  </si>
  <si>
    <t>2025-04</t>
  </si>
  <si>
    <t>2024-01</t>
  </si>
  <si>
    <t>2024-05</t>
  </si>
  <si>
    <t>2024-08</t>
  </si>
  <si>
    <t>2025-05</t>
  </si>
  <si>
    <t>SumIf</t>
  </si>
  <si>
    <t>AverageIF</t>
  </si>
  <si>
    <t>Row Labels</t>
  </si>
  <si>
    <t>Grand Total</t>
  </si>
  <si>
    <t>Column Labels</t>
  </si>
  <si>
    <t>Sum of Total_Sales</t>
  </si>
  <si>
    <t>Total Sum of Total_Sales</t>
  </si>
  <si>
    <t>Total Sum of Total_Profit</t>
  </si>
  <si>
    <t>Sum of Total_Profit</t>
  </si>
  <si>
    <t>AF Total</t>
  </si>
  <si>
    <t>AS Total</t>
  </si>
  <si>
    <t>EU Total</t>
  </si>
  <si>
    <t>NA Total</t>
  </si>
  <si>
    <t>OC Total</t>
  </si>
  <si>
    <t>SA Total</t>
  </si>
  <si>
    <t>Total Sales</t>
  </si>
  <si>
    <t>Total Profit</t>
  </si>
  <si>
    <t>Region</t>
  </si>
  <si>
    <t xml:space="preserve">macro </t>
  </si>
  <si>
    <t>Ctrl+r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</si>
</sst>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5" formatCode="_-[$$-409]* #,##0.00_ ;_-[$$-409]* \-#,##0.00\ ;_-[$$-409]* &quot;-&quot;??_ ;_-@_ "/>
    <numFmt numFmtId="166" formatCode="mmm/yyyy"/>
  </numFmts>
  <fonts count="4" x14ac:knownFonts="1">
    <font>
      <sz val="11"/>
      <color theme="1"/>
      <name val="Calibri"/>
      <family val="2"/>
      <scheme val="minor"/>
    </font>
    <font>
      <b/>
      <sz val="11"/>
      <color theme="1"/>
      <name val="Calibri"/>
      <family val="2"/>
      <scheme val="minor"/>
    </font>
    <font>
      <b/>
      <sz val="11"/>
      <name val="Calibri"/>
    </font>
    <font>
      <b/>
      <sz val="11"/>
      <name val="Calibri"/>
      <family val="2"/>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22">
    <xf numFmtId="0" fontId="0" fillId="0" borderId="0" xfId="0"/>
    <xf numFmtId="0" fontId="3" fillId="0" borderId="1" xfId="0" applyFont="1" applyBorder="1" applyAlignment="1">
      <alignment horizontal="center" vertical="top"/>
    </xf>
    <xf numFmtId="165" fontId="0" fillId="0" borderId="0" xfId="0" applyNumberFormat="1"/>
    <xf numFmtId="166" fontId="0" fillId="0" borderId="0" xfId="0" applyNumberFormat="1"/>
    <xf numFmtId="165" fontId="2" fillId="0" borderId="1" xfId="0" applyNumberFormat="1" applyFont="1" applyBorder="1" applyAlignment="1">
      <alignment horizontal="center" vertical="center"/>
    </xf>
    <xf numFmtId="165" fontId="0" fillId="0" borderId="0" xfId="0" applyNumberFormat="1" applyAlignment="1">
      <alignment horizontal="center" vertical="center"/>
    </xf>
    <xf numFmtId="0" fontId="2" fillId="0" borderId="1" xfId="0" applyFont="1" applyBorder="1" applyAlignment="1">
      <alignment horizontal="center" vertical="center"/>
    </xf>
    <xf numFmtId="166" fontId="2" fillId="0" borderId="1" xfId="0" applyNumberFormat="1" applyFont="1" applyBorder="1" applyAlignment="1">
      <alignment horizontal="center" vertical="center"/>
    </xf>
    <xf numFmtId="165" fontId="3" fillId="0" borderId="1" xfId="0" applyNumberFormat="1" applyFont="1" applyBorder="1" applyAlignment="1">
      <alignment horizontal="center" vertical="center"/>
    </xf>
    <xf numFmtId="0" fontId="0" fillId="0" borderId="0" xfId="0" applyAlignment="1">
      <alignment horizontal="center" vertical="center"/>
    </xf>
    <xf numFmtId="166" fontId="0" fillId="0" borderId="0" xfId="0" applyNumberFormat="1" applyAlignment="1">
      <alignment horizontal="center" vertical="center"/>
    </xf>
    <xf numFmtId="0" fontId="1" fillId="0" borderId="1" xfId="0" applyFont="1" applyBorder="1" applyAlignment="1">
      <alignment horizontal="center" vertical="top"/>
    </xf>
    <xf numFmtId="0" fontId="3" fillId="0" borderId="2" xfId="0" applyFont="1" applyFill="1" applyBorder="1" applyAlignment="1">
      <alignment horizontal="center" vertical="top"/>
    </xf>
    <xf numFmtId="0" fontId="1" fillId="0" borderId="2" xfId="0" applyFont="1" applyFill="1" applyBorder="1" applyAlignment="1">
      <alignment horizontal="center" vertical="top"/>
    </xf>
    <xf numFmtId="0" fontId="1" fillId="0" borderId="0" xfId="0" applyFont="1"/>
    <xf numFmtId="0" fontId="3" fillId="0" borderId="0" xfId="0" applyFont="1" applyBorder="1" applyAlignment="1">
      <alignment horizontal="center" vertical="top"/>
    </xf>
    <xf numFmtId="0" fontId="0" fillId="0" borderId="0" xfId="0" applyBorder="1"/>
    <xf numFmtId="0" fontId="3" fillId="0" borderId="0" xfId="0" applyFont="1" applyFill="1" applyBorder="1" applyAlignment="1">
      <alignment horizontal="center" vertical="top"/>
    </xf>
    <xf numFmtId="0" fontId="1" fillId="0" borderId="0" xfId="0" applyFont="1" applyFill="1" applyBorder="1" applyAlignment="1">
      <alignment horizontal="center" vertical="top"/>
    </xf>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3">
    <dxf>
      <font>
        <color rgb="FF006100"/>
      </font>
      <fill>
        <patternFill>
          <fgColor indexed="64"/>
          <bgColor rgb="FFC6EF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'Q8'!$K$3</c:f>
              <c:strCache>
                <c:ptCount val="1"/>
                <c:pt idx="0">
                  <c:v>Total Sales</c:v>
                </c:pt>
              </c:strCache>
            </c:strRef>
          </c:tx>
          <c:spPr>
            <a:solidFill>
              <a:schemeClr val="accent1"/>
            </a:solidFill>
            <a:ln>
              <a:noFill/>
            </a:ln>
            <a:effectLst/>
          </c:spPr>
          <c:invertIfNegative val="0"/>
          <c:cat>
            <c:multiLvlStrRef>
              <c:f>'Q8'!$I$4:$J$8</c:f>
              <c:multiLvlStrCache>
                <c:ptCount val="5"/>
                <c:lvl>
                  <c:pt idx="0">
                    <c:v>29495.04</c:v>
                  </c:pt>
                  <c:pt idx="1">
                    <c:v>171168.4</c:v>
                  </c:pt>
                  <c:pt idx="2">
                    <c:v>115214.62</c:v>
                  </c:pt>
                  <c:pt idx="3">
                    <c:v>86945.07</c:v>
                  </c:pt>
                </c:lvl>
                <c:lvl>
                  <c:pt idx="0">
                    <c:v>AF Total</c:v>
                  </c:pt>
                  <c:pt idx="1">
                    <c:v>AS Total</c:v>
                  </c:pt>
                  <c:pt idx="2">
                    <c:v>EU Total</c:v>
                  </c:pt>
                  <c:pt idx="3">
                    <c:v>NA Total</c:v>
                  </c:pt>
                  <c:pt idx="4">
                    <c:v>OC Total</c:v>
                  </c:pt>
                </c:lvl>
              </c:multiLvlStrCache>
            </c:multiLvlStrRef>
          </c:cat>
          <c:val>
            <c:numRef>
              <c:f>'Q8'!$K$4:$K$8</c:f>
              <c:numCache>
                <c:formatCode>General</c:formatCode>
                <c:ptCount val="5"/>
                <c:pt idx="0">
                  <c:v>29495.039999999997</c:v>
                </c:pt>
                <c:pt idx="1">
                  <c:v>171168.4</c:v>
                </c:pt>
                <c:pt idx="2">
                  <c:v>115214.62000000001</c:v>
                </c:pt>
                <c:pt idx="3">
                  <c:v>86945.07</c:v>
                </c:pt>
                <c:pt idx="4">
                  <c:v>37017.46</c:v>
                </c:pt>
              </c:numCache>
            </c:numRef>
          </c:val>
          <c:extLst>
            <c:ext xmlns:c16="http://schemas.microsoft.com/office/drawing/2014/chart" uri="{C3380CC4-5D6E-409C-BE32-E72D297353CC}">
              <c16:uniqueId val="{00000000-92FC-4798-A902-E6606303B57B}"/>
            </c:ext>
          </c:extLst>
        </c:ser>
        <c:ser>
          <c:idx val="1"/>
          <c:order val="1"/>
          <c:tx>
            <c:strRef>
              <c:f>'Q8'!$L$3</c:f>
              <c:strCache>
                <c:ptCount val="1"/>
                <c:pt idx="0">
                  <c:v>Total Profit</c:v>
                </c:pt>
              </c:strCache>
            </c:strRef>
          </c:tx>
          <c:spPr>
            <a:solidFill>
              <a:schemeClr val="accent2"/>
            </a:solidFill>
            <a:ln>
              <a:noFill/>
            </a:ln>
            <a:effectLst/>
          </c:spPr>
          <c:invertIfNegative val="0"/>
          <c:cat>
            <c:multiLvlStrRef>
              <c:f>'Q8'!$I$4:$J$8</c:f>
              <c:multiLvlStrCache>
                <c:ptCount val="5"/>
                <c:lvl>
                  <c:pt idx="0">
                    <c:v>29495.04</c:v>
                  </c:pt>
                  <c:pt idx="1">
                    <c:v>171168.4</c:v>
                  </c:pt>
                  <c:pt idx="2">
                    <c:v>115214.62</c:v>
                  </c:pt>
                  <c:pt idx="3">
                    <c:v>86945.07</c:v>
                  </c:pt>
                </c:lvl>
                <c:lvl>
                  <c:pt idx="0">
                    <c:v>AF Total</c:v>
                  </c:pt>
                  <c:pt idx="1">
                    <c:v>AS Total</c:v>
                  </c:pt>
                  <c:pt idx="2">
                    <c:v>EU Total</c:v>
                  </c:pt>
                  <c:pt idx="3">
                    <c:v>NA Total</c:v>
                  </c:pt>
                  <c:pt idx="4">
                    <c:v>OC Total</c:v>
                  </c:pt>
                </c:lvl>
              </c:multiLvlStrCache>
            </c:multiLvlStrRef>
          </c:cat>
          <c:val>
            <c:numRef>
              <c:f>'Q8'!$L$4:$L$8</c:f>
              <c:numCache>
                <c:formatCode>General</c:formatCode>
                <c:ptCount val="5"/>
                <c:pt idx="0">
                  <c:v>8967.32</c:v>
                </c:pt>
                <c:pt idx="1">
                  <c:v>47915.859999999993</c:v>
                </c:pt>
                <c:pt idx="2">
                  <c:v>32134.75</c:v>
                </c:pt>
                <c:pt idx="3">
                  <c:v>24053.24</c:v>
                </c:pt>
                <c:pt idx="4">
                  <c:v>10162.700000000001</c:v>
                </c:pt>
              </c:numCache>
            </c:numRef>
          </c:val>
          <c:extLst>
            <c:ext xmlns:c16="http://schemas.microsoft.com/office/drawing/2014/chart" uri="{C3380CC4-5D6E-409C-BE32-E72D297353CC}">
              <c16:uniqueId val="{00000001-92FC-4798-A902-E6606303B57B}"/>
            </c:ext>
          </c:extLst>
        </c:ser>
        <c:dLbls>
          <c:showLegendKey val="0"/>
          <c:showVal val="0"/>
          <c:showCatName val="0"/>
          <c:showSerName val="0"/>
          <c:showPercent val="0"/>
          <c:showBubbleSize val="0"/>
        </c:dLbls>
        <c:gapWidth val="219"/>
        <c:overlap val="-27"/>
        <c:axId val="1720280208"/>
        <c:axId val="1720281648"/>
      </c:barChart>
      <c:catAx>
        <c:axId val="1720280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0281648"/>
        <c:crosses val="autoZero"/>
        <c:auto val="1"/>
        <c:lblAlgn val="ctr"/>
        <c:lblOffset val="100"/>
        <c:noMultiLvlLbl val="0"/>
      </c:catAx>
      <c:valAx>
        <c:axId val="17202816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02802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'Q8'!$K$3</c:f>
              <c:strCache>
                <c:ptCount val="1"/>
                <c:pt idx="0">
                  <c:v>Total Sales</c:v>
                </c:pt>
              </c:strCache>
            </c:strRef>
          </c:tx>
          <c:spPr>
            <a:ln w="28575" cap="rnd">
              <a:solidFill>
                <a:schemeClr val="accent1"/>
              </a:solidFill>
              <a:round/>
            </a:ln>
            <a:effectLst/>
          </c:spPr>
          <c:marker>
            <c:symbol val="none"/>
          </c:marker>
          <c:val>
            <c:numRef>
              <c:f>'Q8'!$K$4:$K$7</c:f>
              <c:numCache>
                <c:formatCode>General</c:formatCode>
                <c:ptCount val="4"/>
                <c:pt idx="0">
                  <c:v>29495.039999999997</c:v>
                </c:pt>
                <c:pt idx="1">
                  <c:v>171168.4</c:v>
                </c:pt>
                <c:pt idx="2">
                  <c:v>115214.62000000001</c:v>
                </c:pt>
                <c:pt idx="3">
                  <c:v>86945.07</c:v>
                </c:pt>
              </c:numCache>
            </c:numRef>
          </c:val>
          <c:smooth val="0"/>
          <c:extLst>
            <c:ext xmlns:c16="http://schemas.microsoft.com/office/drawing/2014/chart" uri="{C3380CC4-5D6E-409C-BE32-E72D297353CC}">
              <c16:uniqueId val="{00000000-9481-415C-84C3-ED8A1E9456E0}"/>
            </c:ext>
          </c:extLst>
        </c:ser>
        <c:ser>
          <c:idx val="1"/>
          <c:order val="1"/>
          <c:tx>
            <c:strRef>
              <c:f>'Q8'!$L$3</c:f>
              <c:strCache>
                <c:ptCount val="1"/>
                <c:pt idx="0">
                  <c:v>Total Profit</c:v>
                </c:pt>
              </c:strCache>
            </c:strRef>
          </c:tx>
          <c:spPr>
            <a:ln w="28575" cap="rnd">
              <a:solidFill>
                <a:schemeClr val="accent2"/>
              </a:solidFill>
              <a:round/>
            </a:ln>
            <a:effectLst/>
          </c:spPr>
          <c:marker>
            <c:symbol val="none"/>
          </c:marker>
          <c:val>
            <c:numRef>
              <c:f>'Q8'!$L$4:$L$7</c:f>
              <c:numCache>
                <c:formatCode>General</c:formatCode>
                <c:ptCount val="4"/>
                <c:pt idx="0">
                  <c:v>8967.32</c:v>
                </c:pt>
                <c:pt idx="1">
                  <c:v>47915.859999999993</c:v>
                </c:pt>
                <c:pt idx="2">
                  <c:v>32134.75</c:v>
                </c:pt>
                <c:pt idx="3">
                  <c:v>24053.24</c:v>
                </c:pt>
              </c:numCache>
            </c:numRef>
          </c:val>
          <c:smooth val="0"/>
          <c:extLst>
            <c:ext xmlns:c16="http://schemas.microsoft.com/office/drawing/2014/chart" uri="{C3380CC4-5D6E-409C-BE32-E72D297353CC}">
              <c16:uniqueId val="{00000001-9481-415C-84C3-ED8A1E9456E0}"/>
            </c:ext>
          </c:extLst>
        </c:ser>
        <c:dLbls>
          <c:showLegendKey val="0"/>
          <c:showVal val="0"/>
          <c:showCatName val="0"/>
          <c:showSerName val="0"/>
          <c:showPercent val="0"/>
          <c:showBubbleSize val="0"/>
        </c:dLbls>
        <c:smooth val="0"/>
        <c:axId val="1720276096"/>
        <c:axId val="1720277056"/>
      </c:lineChart>
      <c:catAx>
        <c:axId val="172027609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0277056"/>
        <c:crosses val="autoZero"/>
        <c:auto val="1"/>
        <c:lblAlgn val="ctr"/>
        <c:lblOffset val="100"/>
        <c:noMultiLvlLbl val="0"/>
      </c:catAx>
      <c:valAx>
        <c:axId val="1720277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02760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41755555555555557"/>
          <c:y val="0.3472222222222222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'Q8'!$J$3</c:f>
              <c:strCache>
                <c:ptCount val="1"/>
                <c:pt idx="0">
                  <c:v>Total Sales</c:v>
                </c:pt>
              </c:strCache>
            </c:strRef>
          </c:tx>
          <c:spPr>
            <a:ln w="19050" cap="rnd">
              <a:noFill/>
              <a:round/>
            </a:ln>
            <a:effectLst/>
          </c:spPr>
          <c:marker>
            <c:symbol val="circle"/>
            <c:size val="5"/>
            <c:spPr>
              <a:solidFill>
                <a:schemeClr val="accent1"/>
              </a:solidFill>
              <a:ln w="9525">
                <a:solidFill>
                  <a:schemeClr val="accent1"/>
                </a:solidFill>
              </a:ln>
              <a:effectLst/>
            </c:spPr>
          </c:marker>
          <c:xVal>
            <c:strRef>
              <c:f>'Q8'!$I$4:$I$7</c:f>
              <c:strCache>
                <c:ptCount val="4"/>
                <c:pt idx="0">
                  <c:v>AF Total</c:v>
                </c:pt>
                <c:pt idx="1">
                  <c:v>AS Total</c:v>
                </c:pt>
                <c:pt idx="2">
                  <c:v>EU Total</c:v>
                </c:pt>
                <c:pt idx="3">
                  <c:v>NA Total</c:v>
                </c:pt>
              </c:strCache>
            </c:strRef>
          </c:xVal>
          <c:yVal>
            <c:numRef>
              <c:f>'Q8'!$J$4:$J$7</c:f>
              <c:numCache>
                <c:formatCode>General</c:formatCode>
                <c:ptCount val="4"/>
                <c:pt idx="0">
                  <c:v>29495.039999999997</c:v>
                </c:pt>
                <c:pt idx="1">
                  <c:v>171168.4</c:v>
                </c:pt>
                <c:pt idx="2">
                  <c:v>115214.62000000001</c:v>
                </c:pt>
                <c:pt idx="3">
                  <c:v>86945.07</c:v>
                </c:pt>
              </c:numCache>
            </c:numRef>
          </c:yVal>
          <c:smooth val="0"/>
          <c:extLst>
            <c:ext xmlns:c16="http://schemas.microsoft.com/office/drawing/2014/chart" uri="{C3380CC4-5D6E-409C-BE32-E72D297353CC}">
              <c16:uniqueId val="{00000000-62F5-4DCE-A9BF-310A5A6F5E5B}"/>
            </c:ext>
          </c:extLst>
        </c:ser>
        <c:dLbls>
          <c:showLegendKey val="0"/>
          <c:showVal val="0"/>
          <c:showCatName val="0"/>
          <c:showSerName val="0"/>
          <c:showPercent val="0"/>
          <c:showBubbleSize val="0"/>
        </c:dLbls>
        <c:axId val="1987491600"/>
        <c:axId val="980627632"/>
      </c:scatterChart>
      <c:valAx>
        <c:axId val="1987491600"/>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0627632"/>
        <c:crosses val="autoZero"/>
        <c:crossBetween val="midCat"/>
      </c:valAx>
      <c:valAx>
        <c:axId val="9806276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749160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8</xdr:col>
      <xdr:colOff>274320</xdr:colOff>
      <xdr:row>25</xdr:row>
      <xdr:rowOff>167640</xdr:rowOff>
    </xdr:from>
    <xdr:to>
      <xdr:col>9</xdr:col>
      <xdr:colOff>899160</xdr:colOff>
      <xdr:row>39</xdr:row>
      <xdr:rowOff>74295</xdr:rowOff>
    </xdr:to>
    <mc:AlternateContent xmlns:mc="http://schemas.openxmlformats.org/markup-compatibility/2006">
      <mc:Choice xmlns:a14="http://schemas.microsoft.com/office/drawing/2010/main" Requires="a14">
        <xdr:graphicFrame macro="">
          <xdr:nvGraphicFramePr>
            <xdr:cNvPr id="2" name="Shipments">
              <a:extLst>
                <a:ext uri="{FF2B5EF4-FFF2-40B4-BE49-F238E27FC236}">
                  <a16:creationId xmlns:a16="http://schemas.microsoft.com/office/drawing/2014/main" id="{2814D601-18CC-B952-8BB8-F523EBE49CD1}"/>
                </a:ext>
              </a:extLst>
            </xdr:cNvPr>
            <xdr:cNvGraphicFramePr/>
          </xdr:nvGraphicFramePr>
          <xdr:xfrm>
            <a:off x="0" y="0"/>
            <a:ext cx="0" cy="0"/>
          </xdr:xfrm>
          <a:graphic>
            <a:graphicData uri="http://schemas.microsoft.com/office/drawing/2010/slicer">
              <sle:slicer xmlns:sle="http://schemas.microsoft.com/office/drawing/2010/slicer" name="Shipments"/>
            </a:graphicData>
          </a:graphic>
        </xdr:graphicFrame>
      </mc:Choice>
      <mc:Fallback>
        <xdr:sp macro="" textlink="">
          <xdr:nvSpPr>
            <xdr:cNvPr id="0" name=""/>
            <xdr:cNvSpPr>
              <a:spLocks noTextEdit="1"/>
            </xdr:cNvSpPr>
          </xdr:nvSpPr>
          <xdr:spPr>
            <a:xfrm>
              <a:off x="9410700" y="47396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7</xdr:col>
      <xdr:colOff>7620</xdr:colOff>
      <xdr:row>6</xdr:row>
      <xdr:rowOff>148590</xdr:rowOff>
    </xdr:from>
    <xdr:to>
      <xdr:col>14</xdr:col>
      <xdr:colOff>236220</xdr:colOff>
      <xdr:row>21</xdr:row>
      <xdr:rowOff>148590</xdr:rowOff>
    </xdr:to>
    <xdr:graphicFrame macro="">
      <xdr:nvGraphicFramePr>
        <xdr:cNvPr id="5" name="Chart 4">
          <a:extLst>
            <a:ext uri="{FF2B5EF4-FFF2-40B4-BE49-F238E27FC236}">
              <a16:creationId xmlns:a16="http://schemas.microsoft.com/office/drawing/2014/main" id="{170E2875-64A6-D0ED-AAC4-6407E7EF37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289560</xdr:colOff>
      <xdr:row>7</xdr:row>
      <xdr:rowOff>87630</xdr:rowOff>
    </xdr:from>
    <xdr:to>
      <xdr:col>20</xdr:col>
      <xdr:colOff>594360</xdr:colOff>
      <xdr:row>22</xdr:row>
      <xdr:rowOff>87630</xdr:rowOff>
    </xdr:to>
    <xdr:graphicFrame macro="">
      <xdr:nvGraphicFramePr>
        <xdr:cNvPr id="6" name="Chart 5">
          <a:extLst>
            <a:ext uri="{FF2B5EF4-FFF2-40B4-BE49-F238E27FC236}">
              <a16:creationId xmlns:a16="http://schemas.microsoft.com/office/drawing/2014/main" id="{5968ADAC-E66B-4CC0-0B4D-3A4D4F1CD8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495300</xdr:colOff>
      <xdr:row>22</xdr:row>
      <xdr:rowOff>26670</xdr:rowOff>
    </xdr:from>
    <xdr:to>
      <xdr:col>14</xdr:col>
      <xdr:colOff>38100</xdr:colOff>
      <xdr:row>37</xdr:row>
      <xdr:rowOff>26670</xdr:rowOff>
    </xdr:to>
    <xdr:graphicFrame macro="">
      <xdr:nvGraphicFramePr>
        <xdr:cNvPr id="7" name="Chart 6">
          <a:extLst>
            <a:ext uri="{FF2B5EF4-FFF2-40B4-BE49-F238E27FC236}">
              <a16:creationId xmlns:a16="http://schemas.microsoft.com/office/drawing/2014/main" id="{19736A9C-78EC-2AB2-2827-69F3B18C88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BAJYOTI ROY" refreshedDate="46107.536596527774" createdVersion="8" refreshedVersion="8" minRefreshableVersion="3" recordCount="93" xr:uid="{10DF8D8E-3514-4095-9BF7-8D49ECD6DBA1}">
  <cacheSource type="worksheet">
    <worksheetSource ref="A1:F94" sheet="Sheet6"/>
  </cacheSource>
  <cacheFields count="6">
    <cacheField name="Region_Code" numFmtId="0">
      <sharedItems count="6">
        <s v="AF"/>
        <s v="AS"/>
        <s v="EU"/>
        <s v="NA"/>
        <s v="OC"/>
        <s v="SA"/>
      </sharedItems>
    </cacheField>
    <cacheField name="Month" numFmtId="0">
      <sharedItems count="17">
        <s v="2024-02"/>
        <s v="2024-03"/>
        <s v="2024-04"/>
        <s v="2024-06"/>
        <s v="2024-07"/>
        <s v="2024-09"/>
        <s v="2024-10"/>
        <s v="2024-11"/>
        <s v="2024-12"/>
        <s v="2025-01"/>
        <s v="2025-02"/>
        <s v="2025-03"/>
        <s v="2025-04"/>
        <s v="2024-01"/>
        <s v="2024-05"/>
        <s v="2024-08"/>
        <s v="2025-05"/>
      </sharedItems>
    </cacheField>
    <cacheField name="Total_Sales" numFmtId="0">
      <sharedItems containsSemiMixedTypes="0" containsString="0" containsNumber="1" minValue="168.63" maxValue="16779.43"/>
    </cacheField>
    <cacheField name="Total_Profit" numFmtId="0">
      <sharedItems containsSemiMixedTypes="0" containsString="0" containsNumber="1" minValue="41.07" maxValue="5047.63"/>
    </cacheField>
    <cacheField name="Shipments" numFmtId="0">
      <sharedItems containsSemiMixedTypes="0" containsString="0" containsNumber="1" containsInteger="1" minValue="1" maxValue="19" count="18">
        <n v="3"/>
        <n v="2"/>
        <n v="4"/>
        <n v="1"/>
        <n v="11"/>
        <n v="9"/>
        <n v="6"/>
        <n v="7"/>
        <n v="19"/>
        <n v="13"/>
        <n v="14"/>
        <n v="8"/>
        <n v="17"/>
        <n v="5"/>
        <n v="16"/>
        <n v="15"/>
        <n v="10"/>
        <n v="12"/>
      </sharedItems>
    </cacheField>
    <cacheField name="Returns" numFmtId="0">
      <sharedItems containsSemiMixedTypes="0" containsString="0" containsNumber="1" containsInteger="1" minValue="1" maxValue="9" count="9">
        <n v="5"/>
        <n v="3"/>
        <n v="4"/>
        <n v="7"/>
        <n v="8"/>
        <n v="6"/>
        <n v="2"/>
        <n v="9"/>
        <n v="1"/>
      </sharedItems>
    </cacheField>
  </cacheFields>
  <extLst>
    <ext xmlns:x14="http://schemas.microsoft.com/office/spreadsheetml/2009/9/main" uri="{725AE2AE-9491-48be-B2B4-4EB974FC3084}">
      <x14:pivotCacheDefinition pivotCacheId="19106698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3">
  <r>
    <x v="0"/>
    <x v="0"/>
    <n v="3778.57"/>
    <n v="1212.1199999999999"/>
    <x v="0"/>
    <x v="0"/>
  </r>
  <r>
    <x v="0"/>
    <x v="1"/>
    <n v="3519.18"/>
    <n v="910.68"/>
    <x v="1"/>
    <x v="1"/>
  </r>
  <r>
    <x v="0"/>
    <x v="2"/>
    <n v="1765.51"/>
    <n v="530.96"/>
    <x v="1"/>
    <x v="2"/>
  </r>
  <r>
    <x v="0"/>
    <x v="3"/>
    <n v="4768.72"/>
    <n v="1717.12"/>
    <x v="0"/>
    <x v="3"/>
  </r>
  <r>
    <x v="0"/>
    <x v="4"/>
    <n v="751.14"/>
    <n v="168.93"/>
    <x v="2"/>
    <x v="4"/>
  </r>
  <r>
    <x v="0"/>
    <x v="5"/>
    <n v="2704.41"/>
    <n v="772.61"/>
    <x v="0"/>
    <x v="0"/>
  </r>
  <r>
    <x v="0"/>
    <x v="6"/>
    <n v="908.84"/>
    <n v="264.43"/>
    <x v="1"/>
    <x v="5"/>
  </r>
  <r>
    <x v="0"/>
    <x v="7"/>
    <n v="794.82"/>
    <n v="255.37"/>
    <x v="3"/>
    <x v="3"/>
  </r>
  <r>
    <x v="0"/>
    <x v="8"/>
    <n v="1882.75"/>
    <n v="346.8"/>
    <x v="2"/>
    <x v="1"/>
  </r>
  <r>
    <x v="0"/>
    <x v="9"/>
    <n v="3269.37"/>
    <n v="1085.4100000000001"/>
    <x v="1"/>
    <x v="6"/>
  </r>
  <r>
    <x v="0"/>
    <x v="10"/>
    <n v="412.62"/>
    <n v="155.44"/>
    <x v="3"/>
    <x v="4"/>
  </r>
  <r>
    <x v="0"/>
    <x v="11"/>
    <n v="2964.8"/>
    <n v="920.04"/>
    <x v="2"/>
    <x v="2"/>
  </r>
  <r>
    <x v="0"/>
    <x v="12"/>
    <n v="1974.31"/>
    <n v="627.41"/>
    <x v="1"/>
    <x v="7"/>
  </r>
  <r>
    <x v="1"/>
    <x v="13"/>
    <n v="12118.86"/>
    <n v="2799.31"/>
    <x v="4"/>
    <x v="0"/>
  </r>
  <r>
    <x v="1"/>
    <x v="0"/>
    <n v="8766.07"/>
    <n v="2416.6"/>
    <x v="5"/>
    <x v="5"/>
  </r>
  <r>
    <x v="1"/>
    <x v="1"/>
    <n v="7955.66"/>
    <n v="2329.09"/>
    <x v="5"/>
    <x v="8"/>
  </r>
  <r>
    <x v="1"/>
    <x v="2"/>
    <n v="5871.72"/>
    <n v="1889.51"/>
    <x v="6"/>
    <x v="8"/>
  </r>
  <r>
    <x v="1"/>
    <x v="14"/>
    <n v="5008.9399999999996"/>
    <n v="1129.83"/>
    <x v="7"/>
    <x v="4"/>
  </r>
  <r>
    <x v="1"/>
    <x v="3"/>
    <n v="8767.11"/>
    <n v="2622.31"/>
    <x v="7"/>
    <x v="1"/>
  </r>
  <r>
    <x v="1"/>
    <x v="4"/>
    <n v="13074.39"/>
    <n v="3550.23"/>
    <x v="4"/>
    <x v="6"/>
  </r>
  <r>
    <x v="1"/>
    <x v="15"/>
    <n v="12111.05"/>
    <n v="3346.91"/>
    <x v="4"/>
    <x v="8"/>
  </r>
  <r>
    <x v="1"/>
    <x v="5"/>
    <n v="14892.08"/>
    <n v="4197.32"/>
    <x v="8"/>
    <x v="8"/>
  </r>
  <r>
    <x v="1"/>
    <x v="6"/>
    <n v="8946.65"/>
    <n v="3064.47"/>
    <x v="5"/>
    <x v="7"/>
  </r>
  <r>
    <x v="1"/>
    <x v="7"/>
    <n v="13730.81"/>
    <n v="3430.89"/>
    <x v="9"/>
    <x v="4"/>
  </r>
  <r>
    <x v="1"/>
    <x v="8"/>
    <n v="11679.03"/>
    <n v="3081.7"/>
    <x v="4"/>
    <x v="1"/>
  </r>
  <r>
    <x v="1"/>
    <x v="9"/>
    <n v="9897.75"/>
    <n v="2652.22"/>
    <x v="10"/>
    <x v="0"/>
  </r>
  <r>
    <x v="1"/>
    <x v="10"/>
    <n v="5404.6900000000014"/>
    <n v="1469.09"/>
    <x v="11"/>
    <x v="1"/>
  </r>
  <r>
    <x v="1"/>
    <x v="11"/>
    <n v="11784.96"/>
    <n v="3759.57"/>
    <x v="5"/>
    <x v="0"/>
  </r>
  <r>
    <x v="1"/>
    <x v="12"/>
    <n v="16779.43"/>
    <n v="5047.63"/>
    <x v="12"/>
    <x v="4"/>
  </r>
  <r>
    <x v="1"/>
    <x v="16"/>
    <n v="4379.2"/>
    <n v="1129.18"/>
    <x v="11"/>
    <x v="8"/>
  </r>
  <r>
    <x v="2"/>
    <x v="13"/>
    <n v="5963.8"/>
    <n v="1573.73"/>
    <x v="13"/>
    <x v="0"/>
  </r>
  <r>
    <x v="2"/>
    <x v="0"/>
    <n v="10805.59"/>
    <n v="3570.55"/>
    <x v="4"/>
    <x v="8"/>
  </r>
  <r>
    <x v="2"/>
    <x v="1"/>
    <n v="5417.25"/>
    <n v="1555.47"/>
    <x v="13"/>
    <x v="3"/>
  </r>
  <r>
    <x v="2"/>
    <x v="2"/>
    <n v="3447.44"/>
    <n v="997.16000000000008"/>
    <x v="13"/>
    <x v="4"/>
  </r>
  <r>
    <x v="2"/>
    <x v="14"/>
    <n v="2680.99"/>
    <n v="567.59"/>
    <x v="2"/>
    <x v="8"/>
  </r>
  <r>
    <x v="2"/>
    <x v="3"/>
    <n v="15432.12"/>
    <n v="4593.17"/>
    <x v="14"/>
    <x v="8"/>
  </r>
  <r>
    <x v="2"/>
    <x v="4"/>
    <n v="10623.02"/>
    <n v="3155.49"/>
    <x v="15"/>
    <x v="4"/>
  </r>
  <r>
    <x v="2"/>
    <x v="15"/>
    <n v="6538.51"/>
    <n v="1686.63"/>
    <x v="16"/>
    <x v="8"/>
  </r>
  <r>
    <x v="2"/>
    <x v="5"/>
    <n v="4338.0200000000004"/>
    <n v="941.58999999999992"/>
    <x v="13"/>
    <x v="5"/>
  </r>
  <r>
    <x v="2"/>
    <x v="6"/>
    <n v="6894.59"/>
    <n v="2046.19"/>
    <x v="4"/>
    <x v="6"/>
  </r>
  <r>
    <x v="2"/>
    <x v="7"/>
    <n v="6006.6500000000005"/>
    <n v="1368.08"/>
    <x v="7"/>
    <x v="5"/>
  </r>
  <r>
    <x v="2"/>
    <x v="8"/>
    <n v="5718.61"/>
    <n v="1342.18"/>
    <x v="7"/>
    <x v="5"/>
  </r>
  <r>
    <x v="2"/>
    <x v="9"/>
    <n v="8016.39"/>
    <n v="2485.71"/>
    <x v="11"/>
    <x v="7"/>
  </r>
  <r>
    <x v="2"/>
    <x v="10"/>
    <n v="5431.37"/>
    <n v="1032.25"/>
    <x v="13"/>
    <x v="1"/>
  </r>
  <r>
    <x v="2"/>
    <x v="11"/>
    <n v="9021.380000000001"/>
    <n v="3026.61"/>
    <x v="7"/>
    <x v="0"/>
  </r>
  <r>
    <x v="2"/>
    <x v="12"/>
    <n v="7453.18"/>
    <n v="1835.78"/>
    <x v="11"/>
    <x v="5"/>
  </r>
  <r>
    <x v="2"/>
    <x v="16"/>
    <n v="1425.71"/>
    <n v="356.57"/>
    <x v="13"/>
    <x v="0"/>
  </r>
  <r>
    <x v="3"/>
    <x v="13"/>
    <n v="4059.57"/>
    <n v="1247.83"/>
    <x v="13"/>
    <x v="8"/>
  </r>
  <r>
    <x v="3"/>
    <x v="0"/>
    <n v="5390.3499999999995"/>
    <n v="1662.29"/>
    <x v="13"/>
    <x v="0"/>
  </r>
  <r>
    <x v="3"/>
    <x v="1"/>
    <n v="1064.19"/>
    <n v="388.91"/>
    <x v="0"/>
    <x v="8"/>
  </r>
  <r>
    <x v="3"/>
    <x v="2"/>
    <n v="1721.74"/>
    <n v="465.98"/>
    <x v="0"/>
    <x v="0"/>
  </r>
  <r>
    <x v="3"/>
    <x v="14"/>
    <n v="8874.1"/>
    <n v="2315.96"/>
    <x v="11"/>
    <x v="1"/>
  </r>
  <r>
    <x v="3"/>
    <x v="3"/>
    <n v="4737.55"/>
    <n v="1543.71"/>
    <x v="2"/>
    <x v="8"/>
  </r>
  <r>
    <x v="3"/>
    <x v="4"/>
    <n v="2262.48"/>
    <n v="463.63"/>
    <x v="1"/>
    <x v="8"/>
  </r>
  <r>
    <x v="3"/>
    <x v="15"/>
    <n v="2443.42"/>
    <n v="578.91999999999996"/>
    <x v="1"/>
    <x v="3"/>
  </r>
  <r>
    <x v="3"/>
    <x v="5"/>
    <n v="5589.5999999999995"/>
    <n v="1545.11"/>
    <x v="7"/>
    <x v="8"/>
  </r>
  <r>
    <x v="3"/>
    <x v="6"/>
    <n v="7347.76"/>
    <n v="1856.14"/>
    <x v="7"/>
    <x v="6"/>
  </r>
  <r>
    <x v="3"/>
    <x v="7"/>
    <n v="6488.83"/>
    <n v="1394.89"/>
    <x v="13"/>
    <x v="0"/>
  </r>
  <r>
    <x v="3"/>
    <x v="8"/>
    <n v="13213.87"/>
    <n v="3606.27"/>
    <x v="17"/>
    <x v="3"/>
  </r>
  <r>
    <x v="3"/>
    <x v="9"/>
    <n v="2048.6"/>
    <n v="626.04999999999995"/>
    <x v="0"/>
    <x v="8"/>
  </r>
  <r>
    <x v="3"/>
    <x v="10"/>
    <n v="9137.09"/>
    <n v="3200.92"/>
    <x v="11"/>
    <x v="3"/>
  </r>
  <r>
    <x v="3"/>
    <x v="11"/>
    <n v="3271.86"/>
    <n v="762.28"/>
    <x v="2"/>
    <x v="3"/>
  </r>
  <r>
    <x v="3"/>
    <x v="12"/>
    <n v="6394.1900000000014"/>
    <n v="1658.61"/>
    <x v="7"/>
    <x v="2"/>
  </r>
  <r>
    <x v="3"/>
    <x v="16"/>
    <n v="2899.87"/>
    <n v="735.74"/>
    <x v="1"/>
    <x v="7"/>
  </r>
  <r>
    <x v="4"/>
    <x v="13"/>
    <n v="656.88"/>
    <n v="167.02"/>
    <x v="3"/>
    <x v="7"/>
  </r>
  <r>
    <x v="4"/>
    <x v="1"/>
    <n v="6450.38"/>
    <n v="1428.65"/>
    <x v="2"/>
    <x v="1"/>
  </r>
  <r>
    <x v="4"/>
    <x v="14"/>
    <n v="2045.91"/>
    <n v="418.73"/>
    <x v="0"/>
    <x v="1"/>
  </r>
  <r>
    <x v="4"/>
    <x v="3"/>
    <n v="2355.85"/>
    <n v="356.88"/>
    <x v="1"/>
    <x v="8"/>
  </r>
  <r>
    <x v="4"/>
    <x v="4"/>
    <n v="2376.6799999999998"/>
    <n v="773.68"/>
    <x v="0"/>
    <x v="5"/>
  </r>
  <r>
    <x v="4"/>
    <x v="5"/>
    <n v="2832.86"/>
    <n v="661.32999999999993"/>
    <x v="0"/>
    <x v="7"/>
  </r>
  <r>
    <x v="4"/>
    <x v="6"/>
    <n v="935.88"/>
    <n v="186.51"/>
    <x v="3"/>
    <x v="2"/>
  </r>
  <r>
    <x v="4"/>
    <x v="7"/>
    <n v="1719.38"/>
    <n v="447.82000000000011"/>
    <x v="1"/>
    <x v="8"/>
  </r>
  <r>
    <x v="4"/>
    <x v="8"/>
    <n v="3220"/>
    <n v="1219.8900000000001"/>
    <x v="3"/>
    <x v="3"/>
  </r>
  <r>
    <x v="4"/>
    <x v="9"/>
    <n v="1567.87"/>
    <n v="518.99"/>
    <x v="0"/>
    <x v="7"/>
  </r>
  <r>
    <x v="4"/>
    <x v="10"/>
    <n v="4977.83"/>
    <n v="1410.15"/>
    <x v="0"/>
    <x v="1"/>
  </r>
  <r>
    <x v="4"/>
    <x v="11"/>
    <n v="5111.88"/>
    <n v="1879.68"/>
    <x v="0"/>
    <x v="5"/>
  </r>
  <r>
    <x v="4"/>
    <x v="12"/>
    <n v="2766.06"/>
    <n v="693.37"/>
    <x v="0"/>
    <x v="0"/>
  </r>
  <r>
    <x v="5"/>
    <x v="13"/>
    <n v="843.2"/>
    <n v="266.39"/>
    <x v="3"/>
    <x v="1"/>
  </r>
  <r>
    <x v="5"/>
    <x v="0"/>
    <n v="1171.42"/>
    <n v="372.47"/>
    <x v="3"/>
    <x v="3"/>
  </r>
  <r>
    <x v="5"/>
    <x v="1"/>
    <n v="3043.92"/>
    <n v="836.17000000000007"/>
    <x v="0"/>
    <x v="0"/>
  </r>
  <r>
    <x v="5"/>
    <x v="2"/>
    <n v="1269.94"/>
    <n v="439"/>
    <x v="1"/>
    <x v="0"/>
  </r>
  <r>
    <x v="5"/>
    <x v="14"/>
    <n v="6434.71"/>
    <n v="1817.21"/>
    <x v="7"/>
    <x v="3"/>
  </r>
  <r>
    <x v="5"/>
    <x v="3"/>
    <n v="2631.25"/>
    <n v="942.72"/>
    <x v="1"/>
    <x v="2"/>
  </r>
  <r>
    <x v="5"/>
    <x v="4"/>
    <n v="1201.2"/>
    <n v="329.23"/>
    <x v="3"/>
    <x v="4"/>
  </r>
  <r>
    <x v="5"/>
    <x v="15"/>
    <n v="7486.09"/>
    <n v="2363.9299999999998"/>
    <x v="13"/>
    <x v="1"/>
  </r>
  <r>
    <x v="5"/>
    <x v="5"/>
    <n v="1381.76"/>
    <n v="269.22000000000003"/>
    <x v="3"/>
    <x v="5"/>
  </r>
  <r>
    <x v="5"/>
    <x v="6"/>
    <n v="338.16"/>
    <n v="134.77000000000001"/>
    <x v="3"/>
    <x v="2"/>
  </r>
  <r>
    <x v="5"/>
    <x v="7"/>
    <n v="3025.92"/>
    <n v="866.08"/>
    <x v="0"/>
    <x v="3"/>
  </r>
  <r>
    <x v="5"/>
    <x v="8"/>
    <n v="3405.03"/>
    <n v="884.06"/>
    <x v="2"/>
    <x v="3"/>
  </r>
  <r>
    <x v="5"/>
    <x v="9"/>
    <n v="263.04000000000002"/>
    <n v="41.4"/>
    <x v="3"/>
    <x v="4"/>
  </r>
  <r>
    <x v="5"/>
    <x v="10"/>
    <n v="168.63"/>
    <n v="41.07"/>
    <x v="3"/>
    <x v="7"/>
  </r>
  <r>
    <x v="5"/>
    <x v="12"/>
    <n v="1172.08"/>
    <n v="375.08"/>
    <x v="3"/>
    <x v="3"/>
  </r>
  <r>
    <x v="5"/>
    <x v="16"/>
    <n v="1027.68"/>
    <n v="357.73"/>
    <x v="3"/>
    <x v="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9289688-D7F4-4CAB-953A-0EC15987FBA2}"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O23" firstHeaderRow="1" firstDataRow="3" firstDataCol="1"/>
  <pivotFields count="6">
    <pivotField axis="axisCol" showAll="0">
      <items count="7">
        <item x="0"/>
        <item x="1"/>
        <item x="2"/>
        <item x="3"/>
        <item x="4"/>
        <item x="5"/>
        <item t="default"/>
      </items>
    </pivotField>
    <pivotField axis="axisRow" showAll="0">
      <items count="18">
        <item x="13"/>
        <item x="0"/>
        <item x="1"/>
        <item x="2"/>
        <item x="14"/>
        <item x="3"/>
        <item x="4"/>
        <item x="15"/>
        <item x="5"/>
        <item x="6"/>
        <item x="7"/>
        <item x="8"/>
        <item x="9"/>
        <item x="10"/>
        <item x="11"/>
        <item x="12"/>
        <item x="16"/>
        <item t="default"/>
      </items>
    </pivotField>
    <pivotField dataField="1" showAll="0"/>
    <pivotField dataField="1" showAll="0"/>
    <pivotField showAll="0">
      <items count="19">
        <item x="3"/>
        <item x="1"/>
        <item x="0"/>
        <item x="2"/>
        <item x="13"/>
        <item x="6"/>
        <item x="7"/>
        <item x="11"/>
        <item x="5"/>
        <item x="16"/>
        <item x="4"/>
        <item x="17"/>
        <item x="9"/>
        <item x="10"/>
        <item x="15"/>
        <item x="14"/>
        <item x="12"/>
        <item x="8"/>
        <item t="default"/>
      </items>
    </pivotField>
    <pivotField showAll="0">
      <items count="10">
        <item x="8"/>
        <item x="6"/>
        <item x="1"/>
        <item x="2"/>
        <item x="0"/>
        <item x="5"/>
        <item x="3"/>
        <item x="4"/>
        <item x="7"/>
        <item t="default"/>
      </items>
    </pivotField>
  </pivotFields>
  <rowFields count="1">
    <field x="1"/>
  </rowFields>
  <rowItems count="18">
    <i>
      <x/>
    </i>
    <i>
      <x v="1"/>
    </i>
    <i>
      <x v="2"/>
    </i>
    <i>
      <x v="3"/>
    </i>
    <i>
      <x v="4"/>
    </i>
    <i>
      <x v="5"/>
    </i>
    <i>
      <x v="6"/>
    </i>
    <i>
      <x v="7"/>
    </i>
    <i>
      <x v="8"/>
    </i>
    <i>
      <x v="9"/>
    </i>
    <i>
      <x v="10"/>
    </i>
    <i>
      <x v="11"/>
    </i>
    <i>
      <x v="12"/>
    </i>
    <i>
      <x v="13"/>
    </i>
    <i>
      <x v="14"/>
    </i>
    <i>
      <x v="15"/>
    </i>
    <i>
      <x v="16"/>
    </i>
    <i t="grand">
      <x/>
    </i>
  </rowItems>
  <colFields count="2">
    <field x="0"/>
    <field x="-2"/>
  </colFields>
  <colItems count="14">
    <i>
      <x/>
      <x/>
    </i>
    <i r="1" i="1">
      <x v="1"/>
    </i>
    <i>
      <x v="1"/>
      <x/>
    </i>
    <i r="1" i="1">
      <x v="1"/>
    </i>
    <i>
      <x v="2"/>
      <x/>
    </i>
    <i r="1" i="1">
      <x v="1"/>
    </i>
    <i>
      <x v="3"/>
      <x/>
    </i>
    <i r="1" i="1">
      <x v="1"/>
    </i>
    <i>
      <x v="4"/>
      <x/>
    </i>
    <i r="1" i="1">
      <x v="1"/>
    </i>
    <i>
      <x v="5"/>
      <x/>
    </i>
    <i r="1" i="1">
      <x v="1"/>
    </i>
    <i t="grand">
      <x/>
    </i>
    <i t="grand" i="1">
      <x/>
    </i>
  </colItems>
  <dataFields count="2">
    <dataField name="Sum of Total_Sales" fld="2" baseField="0" baseItem="0"/>
    <dataField name="Sum of Total_Profit"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ments" xr10:uid="{333210CA-A639-4884-8DAC-719734A6CA29}" sourceName="Shipments">
  <pivotTables>
    <pivotTable tabId="8" name="PivotTable1"/>
  </pivotTables>
  <data>
    <tabular pivotCacheId="191066983">
      <items count="18">
        <i x="3" s="1"/>
        <i x="1" s="1"/>
        <i x="0" s="1"/>
        <i x="2" s="1"/>
        <i x="13" s="1"/>
        <i x="6" s="1"/>
        <i x="7" s="1"/>
        <i x="11" s="1"/>
        <i x="5" s="1"/>
        <i x="16" s="1"/>
        <i x="4" s="1"/>
        <i x="17" s="1"/>
        <i x="9" s="1"/>
        <i x="10" s="1"/>
        <i x="15" s="1"/>
        <i x="14" s="1"/>
        <i x="12"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ments" xr10:uid="{4FF42AAC-1C65-4DDE-B216-2190BAEBCBF3}" cache="Slicer_Shipments" caption="Shipments"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501"/>
  <sheetViews>
    <sheetView workbookViewId="0">
      <selection activeCell="P10" sqref="P10"/>
    </sheetView>
  </sheetViews>
  <sheetFormatPr defaultRowHeight="14.4" x14ac:dyDescent="0.3"/>
  <cols>
    <col min="1" max="1" width="14.77734375" bestFit="1" customWidth="1"/>
    <col min="2" max="2" width="10.6640625" style="3" bestFit="1" customWidth="1"/>
    <col min="3" max="3" width="17.21875" bestFit="1" customWidth="1"/>
    <col min="4" max="5" width="10.88671875" bestFit="1" customWidth="1"/>
    <col min="6" max="6" width="16.109375" bestFit="1" customWidth="1"/>
    <col min="7" max="7" width="11.21875" bestFit="1" customWidth="1"/>
    <col min="8" max="8" width="8.33203125" bestFit="1" customWidth="1"/>
    <col min="9" max="9" width="9.6640625" style="2" bestFit="1" customWidth="1"/>
    <col min="10" max="10" width="10.44140625" style="2" bestFit="1" customWidth="1"/>
    <col min="11" max="11" width="13.109375" style="2" bestFit="1" customWidth="1"/>
    <col min="12" max="12" width="10.109375" style="5" bestFit="1" customWidth="1"/>
    <col min="13" max="13" width="10.6640625" bestFit="1" customWidth="1"/>
    <col min="14" max="14" width="12.88671875" bestFit="1" customWidth="1"/>
    <col min="15" max="15" width="12.109375" bestFit="1" customWidth="1"/>
  </cols>
  <sheetData>
    <row r="1" spans="1:15" x14ac:dyDescent="0.3">
      <c r="A1" s="6" t="s">
        <v>0</v>
      </c>
      <c r="B1" s="7" t="s">
        <v>1</v>
      </c>
      <c r="C1" s="6" t="s">
        <v>2</v>
      </c>
      <c r="D1" s="6" t="s">
        <v>3</v>
      </c>
      <c r="E1" s="6" t="s">
        <v>3</v>
      </c>
      <c r="F1" s="6" t="s">
        <v>4</v>
      </c>
      <c r="G1" s="6" t="s">
        <v>5</v>
      </c>
      <c r="H1" s="6" t="s">
        <v>6</v>
      </c>
      <c r="I1" s="8" t="s">
        <v>7</v>
      </c>
      <c r="J1" s="4" t="s">
        <v>8</v>
      </c>
      <c r="K1" s="4" t="s">
        <v>9</v>
      </c>
      <c r="L1" s="4" t="s">
        <v>10</v>
      </c>
      <c r="M1" s="6" t="s">
        <v>11</v>
      </c>
      <c r="N1" s="6" t="s">
        <v>12</v>
      </c>
      <c r="O1" s="6" t="s">
        <v>13</v>
      </c>
    </row>
    <row r="2" spans="1:15" x14ac:dyDescent="0.3">
      <c r="A2" s="9" t="s">
        <v>14</v>
      </c>
      <c r="B2" s="10">
        <v>45677</v>
      </c>
      <c r="C2" s="9" t="s">
        <v>16</v>
      </c>
      <c r="D2" s="9" t="str">
        <f>PROPER(E2)</f>
        <v>Usa</v>
      </c>
      <c r="E2" s="9" t="s">
        <v>17</v>
      </c>
      <c r="F2" s="9" t="s">
        <v>18</v>
      </c>
      <c r="G2" s="9" t="s">
        <v>19</v>
      </c>
      <c r="H2" s="9">
        <v>20</v>
      </c>
      <c r="I2" s="5">
        <v>55.22</v>
      </c>
      <c r="J2" s="5">
        <v>1104.4000000000001</v>
      </c>
      <c r="K2" s="5">
        <v>49.36</v>
      </c>
      <c r="L2" s="5">
        <v>355.04</v>
      </c>
      <c r="M2" s="9" t="s">
        <v>20</v>
      </c>
      <c r="N2" s="9" t="s">
        <v>21</v>
      </c>
      <c r="O2" s="9" t="s">
        <v>22</v>
      </c>
    </row>
    <row r="3" spans="1:15" x14ac:dyDescent="0.3">
      <c r="A3" s="9" t="s">
        <v>23</v>
      </c>
      <c r="B3" s="10">
        <v>45708</v>
      </c>
      <c r="C3" s="9" t="s">
        <v>25</v>
      </c>
      <c r="D3" s="9" t="str">
        <f>PROPER(E3)</f>
        <v>Uk</v>
      </c>
      <c r="E3" s="9" t="s">
        <v>26</v>
      </c>
      <c r="F3" s="9" t="s">
        <v>27</v>
      </c>
      <c r="G3" s="9" t="s">
        <v>19</v>
      </c>
      <c r="H3" s="9">
        <v>33</v>
      </c>
      <c r="I3" s="5">
        <v>32.03</v>
      </c>
      <c r="J3" s="5">
        <v>1056.99</v>
      </c>
      <c r="K3" s="5">
        <v>59.59</v>
      </c>
      <c r="L3" s="5">
        <v>403.4</v>
      </c>
      <c r="M3" s="9" t="s">
        <v>28</v>
      </c>
      <c r="N3" s="9" t="s">
        <v>29</v>
      </c>
      <c r="O3" s="9" t="s">
        <v>30</v>
      </c>
    </row>
    <row r="4" spans="1:15" x14ac:dyDescent="0.3">
      <c r="A4" s="9" t="s">
        <v>31</v>
      </c>
      <c r="B4" s="10">
        <v>45736</v>
      </c>
      <c r="C4" s="9" t="s">
        <v>33</v>
      </c>
      <c r="D4" s="9" t="str">
        <f>PROPER(E4)</f>
        <v>Italy</v>
      </c>
      <c r="E4" s="9" t="s">
        <v>34</v>
      </c>
      <c r="F4" s="9" t="s">
        <v>27</v>
      </c>
      <c r="G4" s="9" t="s">
        <v>19</v>
      </c>
      <c r="H4" s="9">
        <v>34</v>
      </c>
      <c r="I4" s="5">
        <v>28.48</v>
      </c>
      <c r="J4" s="5">
        <v>968.32</v>
      </c>
      <c r="K4" s="5">
        <v>73.95</v>
      </c>
      <c r="L4" s="5">
        <v>282.37</v>
      </c>
      <c r="M4" s="9" t="s">
        <v>20</v>
      </c>
      <c r="N4" s="9" t="s">
        <v>35</v>
      </c>
      <c r="O4" s="9" t="s">
        <v>30</v>
      </c>
    </row>
    <row r="5" spans="1:15" x14ac:dyDescent="0.3">
      <c r="A5" s="9" t="s">
        <v>36</v>
      </c>
      <c r="B5" s="10">
        <v>45767</v>
      </c>
      <c r="C5" s="9" t="s">
        <v>38</v>
      </c>
      <c r="D5" s="9" t="str">
        <f>PROPER(E5)</f>
        <v>Brazil</v>
      </c>
      <c r="E5" s="9" t="s">
        <v>39</v>
      </c>
      <c r="F5" s="9" t="s">
        <v>40</v>
      </c>
      <c r="G5" s="9" t="s">
        <v>41</v>
      </c>
      <c r="H5" s="9">
        <v>6</v>
      </c>
      <c r="I5" s="5">
        <v>56.36</v>
      </c>
      <c r="J5" s="5">
        <v>338.16</v>
      </c>
      <c r="K5" s="5">
        <v>11.39</v>
      </c>
      <c r="L5" s="5">
        <v>134.77000000000001</v>
      </c>
      <c r="M5" s="9" t="s">
        <v>42</v>
      </c>
      <c r="N5" s="9" t="s">
        <v>29</v>
      </c>
      <c r="O5" s="9" t="s">
        <v>43</v>
      </c>
    </row>
    <row r="6" spans="1:15" x14ac:dyDescent="0.3">
      <c r="A6" s="9" t="s">
        <v>44</v>
      </c>
      <c r="B6" s="10">
        <v>45797</v>
      </c>
      <c r="C6" s="9" t="s">
        <v>46</v>
      </c>
      <c r="D6" s="9" t="str">
        <f>PROPER(E6)</f>
        <v>Canada</v>
      </c>
      <c r="E6" s="9" t="s">
        <v>47</v>
      </c>
      <c r="F6" s="9" t="s">
        <v>48</v>
      </c>
      <c r="G6" s="9" t="s">
        <v>49</v>
      </c>
      <c r="H6" s="9">
        <v>17</v>
      </c>
      <c r="I6" s="5">
        <v>69.22</v>
      </c>
      <c r="J6" s="5">
        <v>1176.74</v>
      </c>
      <c r="K6" s="5">
        <v>65.94</v>
      </c>
      <c r="L6" s="5">
        <v>430.8</v>
      </c>
      <c r="M6" s="9" t="s">
        <v>28</v>
      </c>
      <c r="N6" s="9" t="s">
        <v>21</v>
      </c>
      <c r="O6" s="9" t="s">
        <v>22</v>
      </c>
    </row>
    <row r="7" spans="1:15" x14ac:dyDescent="0.3">
      <c r="A7" s="9" t="s">
        <v>50</v>
      </c>
      <c r="B7" s="10">
        <v>45828</v>
      </c>
      <c r="C7" s="9" t="s">
        <v>52</v>
      </c>
      <c r="D7" s="9" t="str">
        <f>PROPER(E7)</f>
        <v>Mexico</v>
      </c>
      <c r="E7" s="9" t="s">
        <v>53</v>
      </c>
      <c r="F7" s="9" t="s">
        <v>54</v>
      </c>
      <c r="G7" s="9" t="s">
        <v>41</v>
      </c>
      <c r="H7" s="9">
        <v>13</v>
      </c>
      <c r="I7" s="5">
        <v>27.94</v>
      </c>
      <c r="J7" s="5">
        <v>363.22</v>
      </c>
      <c r="K7" s="5">
        <v>15.36</v>
      </c>
      <c r="L7" s="5">
        <v>87.86</v>
      </c>
      <c r="M7" s="9" t="s">
        <v>28</v>
      </c>
      <c r="N7" s="9" t="s">
        <v>21</v>
      </c>
      <c r="O7" s="9" t="s">
        <v>22</v>
      </c>
    </row>
    <row r="8" spans="1:15" x14ac:dyDescent="0.3">
      <c r="A8" s="9" t="s">
        <v>55</v>
      </c>
      <c r="B8" s="10">
        <v>45858</v>
      </c>
      <c r="C8" s="9" t="s">
        <v>57</v>
      </c>
      <c r="D8" s="9" t="str">
        <f>PROPER(E8)</f>
        <v>Uk</v>
      </c>
      <c r="E8" s="9" t="s">
        <v>26</v>
      </c>
      <c r="F8" s="9" t="s">
        <v>58</v>
      </c>
      <c r="G8" s="9" t="s">
        <v>59</v>
      </c>
      <c r="H8" s="9">
        <v>3</v>
      </c>
      <c r="I8" s="5">
        <v>31.52</v>
      </c>
      <c r="J8" s="5">
        <v>94.56</v>
      </c>
      <c r="K8" s="5">
        <v>6.98</v>
      </c>
      <c r="L8" s="5">
        <v>20.079999999999998</v>
      </c>
      <c r="M8" s="9" t="s">
        <v>20</v>
      </c>
      <c r="N8" s="9" t="s">
        <v>35</v>
      </c>
      <c r="O8" s="9" t="s">
        <v>30</v>
      </c>
    </row>
    <row r="9" spans="1:15" x14ac:dyDescent="0.3">
      <c r="A9" s="9" t="s">
        <v>60</v>
      </c>
      <c r="B9" s="10">
        <v>45889</v>
      </c>
      <c r="C9" s="9" t="s">
        <v>62</v>
      </c>
      <c r="D9" s="9" t="str">
        <f>PROPER(E9)</f>
        <v>China</v>
      </c>
      <c r="E9" s="9" t="s">
        <v>63</v>
      </c>
      <c r="F9" s="9" t="s">
        <v>64</v>
      </c>
      <c r="G9" s="9" t="s">
        <v>65</v>
      </c>
      <c r="H9" s="9">
        <v>14</v>
      </c>
      <c r="I9" s="5">
        <v>30.71</v>
      </c>
      <c r="J9" s="5">
        <v>429.94</v>
      </c>
      <c r="K9" s="5">
        <v>13.03</v>
      </c>
      <c r="L9" s="5">
        <v>66.91</v>
      </c>
      <c r="M9" s="9" t="s">
        <v>28</v>
      </c>
      <c r="N9" s="9" t="s">
        <v>21</v>
      </c>
      <c r="O9" s="9" t="s">
        <v>66</v>
      </c>
    </row>
    <row r="10" spans="1:15" x14ac:dyDescent="0.3">
      <c r="A10" s="9" t="s">
        <v>67</v>
      </c>
      <c r="B10" s="10">
        <v>45920</v>
      </c>
      <c r="C10" s="9" t="s">
        <v>33</v>
      </c>
      <c r="D10" s="9" t="str">
        <f>PROPER(E10)</f>
        <v>Usa</v>
      </c>
      <c r="E10" s="9" t="s">
        <v>17</v>
      </c>
      <c r="F10" s="9" t="s">
        <v>69</v>
      </c>
      <c r="G10" s="9" t="s">
        <v>59</v>
      </c>
      <c r="H10" s="9">
        <v>47</v>
      </c>
      <c r="I10" s="5">
        <v>24.47</v>
      </c>
      <c r="J10" s="5">
        <v>1150.0899999999999</v>
      </c>
      <c r="K10" s="5">
        <v>61.3</v>
      </c>
      <c r="L10" s="5">
        <v>360.29</v>
      </c>
      <c r="M10" s="9" t="s">
        <v>28</v>
      </c>
      <c r="N10" s="9" t="s">
        <v>21</v>
      </c>
      <c r="O10" s="9" t="s">
        <v>22</v>
      </c>
    </row>
    <row r="11" spans="1:15" x14ac:dyDescent="0.3">
      <c r="A11" s="9" t="s">
        <v>70</v>
      </c>
      <c r="B11" s="10">
        <v>45950</v>
      </c>
      <c r="C11" s="9" t="s">
        <v>72</v>
      </c>
      <c r="D11" s="9" t="str">
        <f>PROPER(E11)</f>
        <v>Italy</v>
      </c>
      <c r="E11" s="9" t="s">
        <v>34</v>
      </c>
      <c r="F11" s="9" t="s">
        <v>73</v>
      </c>
      <c r="G11" s="9" t="s">
        <v>41</v>
      </c>
      <c r="H11" s="9">
        <v>27</v>
      </c>
      <c r="I11" s="5">
        <v>18.98</v>
      </c>
      <c r="J11" s="5">
        <v>512.46</v>
      </c>
      <c r="K11" s="5">
        <v>28.89</v>
      </c>
      <c r="L11" s="5">
        <v>139.32</v>
      </c>
      <c r="M11" s="9" t="s">
        <v>28</v>
      </c>
      <c r="N11" s="9" t="s">
        <v>35</v>
      </c>
      <c r="O11" s="9" t="s">
        <v>30</v>
      </c>
    </row>
    <row r="12" spans="1:15" x14ac:dyDescent="0.3">
      <c r="A12" s="9" t="s">
        <v>74</v>
      </c>
      <c r="B12" s="10">
        <v>45981</v>
      </c>
      <c r="C12" s="9" t="s">
        <v>76</v>
      </c>
      <c r="D12" s="9" t="str">
        <f>PROPER(E12)</f>
        <v>China</v>
      </c>
      <c r="E12" s="9" t="s">
        <v>63</v>
      </c>
      <c r="F12" s="9" t="s">
        <v>18</v>
      </c>
      <c r="G12" s="9" t="s">
        <v>19</v>
      </c>
      <c r="H12" s="9">
        <v>32</v>
      </c>
      <c r="I12" s="5">
        <v>57.84</v>
      </c>
      <c r="J12" s="5">
        <v>1850.88</v>
      </c>
      <c r="K12" s="5">
        <v>55.15</v>
      </c>
      <c r="L12" s="5">
        <v>675.73</v>
      </c>
      <c r="M12" s="9" t="s">
        <v>20</v>
      </c>
      <c r="N12" s="9" t="s">
        <v>21</v>
      </c>
      <c r="O12" s="9" t="s">
        <v>66</v>
      </c>
    </row>
    <row r="13" spans="1:15" x14ac:dyDescent="0.3">
      <c r="A13" s="9" t="s">
        <v>77</v>
      </c>
      <c r="B13" s="10">
        <v>46011</v>
      </c>
      <c r="C13" s="9" t="s">
        <v>79</v>
      </c>
      <c r="D13" s="9" t="str">
        <f>PROPER(E13)</f>
        <v>Canada</v>
      </c>
      <c r="E13" s="9" t="s">
        <v>47</v>
      </c>
      <c r="F13" s="9" t="s">
        <v>48</v>
      </c>
      <c r="G13" s="9" t="s">
        <v>49</v>
      </c>
      <c r="H13" s="9">
        <v>49</v>
      </c>
      <c r="I13" s="5">
        <v>58.77</v>
      </c>
      <c r="J13" s="5">
        <v>2879.73</v>
      </c>
      <c r="K13" s="5">
        <v>140.29</v>
      </c>
      <c r="L13" s="5">
        <v>779.44</v>
      </c>
      <c r="M13" s="9" t="s">
        <v>42</v>
      </c>
      <c r="N13" s="9" t="s">
        <v>35</v>
      </c>
      <c r="O13" s="9" t="s">
        <v>22</v>
      </c>
    </row>
    <row r="14" spans="1:15" x14ac:dyDescent="0.3">
      <c r="A14" s="9" t="s">
        <v>80</v>
      </c>
      <c r="B14" s="10">
        <v>46042</v>
      </c>
      <c r="C14" s="9" t="s">
        <v>76</v>
      </c>
      <c r="D14" s="9" t="str">
        <f>PROPER(E14)</f>
        <v>Singapore</v>
      </c>
      <c r="E14" s="9" t="s">
        <v>82</v>
      </c>
      <c r="F14" s="9" t="s">
        <v>18</v>
      </c>
      <c r="G14" s="9" t="s">
        <v>19</v>
      </c>
      <c r="H14" s="9">
        <v>43</v>
      </c>
      <c r="I14" s="5">
        <v>56.92</v>
      </c>
      <c r="J14" s="5">
        <v>2447.56</v>
      </c>
      <c r="K14" s="5">
        <v>140.4</v>
      </c>
      <c r="L14" s="5">
        <v>802.16</v>
      </c>
      <c r="M14" s="9" t="s">
        <v>20</v>
      </c>
      <c r="N14" s="9" t="s">
        <v>29</v>
      </c>
      <c r="O14" s="9" t="s">
        <v>66</v>
      </c>
    </row>
    <row r="15" spans="1:15" x14ac:dyDescent="0.3">
      <c r="A15" s="9" t="s">
        <v>83</v>
      </c>
      <c r="B15" s="10">
        <v>46073</v>
      </c>
      <c r="C15" s="9" t="s">
        <v>85</v>
      </c>
      <c r="D15" s="9" t="str">
        <f>PROPER(E15)</f>
        <v>Italy</v>
      </c>
      <c r="E15" s="9" t="s">
        <v>34</v>
      </c>
      <c r="F15" s="9" t="s">
        <v>64</v>
      </c>
      <c r="G15" s="9" t="s">
        <v>65</v>
      </c>
      <c r="H15" s="9">
        <v>32</v>
      </c>
      <c r="I15" s="5">
        <v>43.45</v>
      </c>
      <c r="J15" s="5">
        <v>1390.4</v>
      </c>
      <c r="K15" s="5">
        <v>30.04</v>
      </c>
      <c r="L15" s="5">
        <v>560.36</v>
      </c>
      <c r="M15" s="9" t="s">
        <v>20</v>
      </c>
      <c r="N15" s="9" t="s">
        <v>35</v>
      </c>
      <c r="O15" s="9" t="s">
        <v>30</v>
      </c>
    </row>
    <row r="16" spans="1:15" x14ac:dyDescent="0.3">
      <c r="A16" s="9" t="s">
        <v>86</v>
      </c>
      <c r="B16" s="10">
        <v>46101</v>
      </c>
      <c r="C16" s="9" t="s">
        <v>88</v>
      </c>
      <c r="D16" s="9" t="str">
        <f>PROPER(E16)</f>
        <v>Uae</v>
      </c>
      <c r="E16" s="9" t="s">
        <v>89</v>
      </c>
      <c r="F16" s="9" t="s">
        <v>64</v>
      </c>
      <c r="G16" s="9" t="s">
        <v>65</v>
      </c>
      <c r="H16" s="9">
        <v>22</v>
      </c>
      <c r="I16" s="5">
        <v>42.59</v>
      </c>
      <c r="J16" s="5">
        <v>936.98</v>
      </c>
      <c r="K16" s="5">
        <v>29.87</v>
      </c>
      <c r="L16" s="5">
        <v>357.11</v>
      </c>
      <c r="M16" s="9" t="s">
        <v>28</v>
      </c>
      <c r="N16" s="9" t="s">
        <v>35</v>
      </c>
      <c r="O16" s="9" t="s">
        <v>66</v>
      </c>
    </row>
    <row r="17" spans="1:15" x14ac:dyDescent="0.3">
      <c r="A17" s="9" t="s">
        <v>90</v>
      </c>
      <c r="B17" s="10">
        <v>46132</v>
      </c>
      <c r="C17" s="9" t="s">
        <v>92</v>
      </c>
      <c r="D17" s="9" t="str">
        <f>PROPER(E17)</f>
        <v>Japan</v>
      </c>
      <c r="E17" s="9" t="s">
        <v>93</v>
      </c>
      <c r="F17" s="9" t="s">
        <v>54</v>
      </c>
      <c r="G17" s="9" t="s">
        <v>41</v>
      </c>
      <c r="H17" s="9">
        <v>48</v>
      </c>
      <c r="I17" s="5">
        <v>25.36</v>
      </c>
      <c r="J17" s="5">
        <v>1217.28</v>
      </c>
      <c r="K17" s="5">
        <v>49.68</v>
      </c>
      <c r="L17" s="5">
        <v>207.6</v>
      </c>
      <c r="M17" s="9" t="s">
        <v>28</v>
      </c>
      <c r="N17" s="9" t="s">
        <v>21</v>
      </c>
      <c r="O17" s="9" t="s">
        <v>66</v>
      </c>
    </row>
    <row r="18" spans="1:15" x14ac:dyDescent="0.3">
      <c r="A18" s="9" t="s">
        <v>94</v>
      </c>
      <c r="B18" s="10">
        <v>46162</v>
      </c>
      <c r="C18" s="9" t="s">
        <v>76</v>
      </c>
      <c r="D18" s="9" t="str">
        <f>PROPER(E18)</f>
        <v>Uae</v>
      </c>
      <c r="E18" s="9" t="s">
        <v>89</v>
      </c>
      <c r="F18" s="9" t="s">
        <v>27</v>
      </c>
      <c r="G18" s="9" t="s">
        <v>19</v>
      </c>
      <c r="H18" s="9">
        <v>48</v>
      </c>
      <c r="I18" s="5">
        <v>30.07</v>
      </c>
      <c r="J18" s="5">
        <v>1443.36</v>
      </c>
      <c r="K18" s="5">
        <v>102.31</v>
      </c>
      <c r="L18" s="5">
        <v>477.05</v>
      </c>
      <c r="M18" s="9" t="s">
        <v>42</v>
      </c>
      <c r="N18" s="9" t="s">
        <v>21</v>
      </c>
      <c r="O18" s="9" t="s">
        <v>66</v>
      </c>
    </row>
    <row r="19" spans="1:15" x14ac:dyDescent="0.3">
      <c r="A19" s="9" t="s">
        <v>96</v>
      </c>
      <c r="B19" s="10">
        <v>46193</v>
      </c>
      <c r="C19" s="9" t="s">
        <v>52</v>
      </c>
      <c r="D19" s="9" t="str">
        <f>PROPER(E19)</f>
        <v>Uae</v>
      </c>
      <c r="E19" s="9" t="s">
        <v>89</v>
      </c>
      <c r="F19" s="9" t="s">
        <v>54</v>
      </c>
      <c r="G19" s="9" t="s">
        <v>41</v>
      </c>
      <c r="H19" s="9">
        <v>6</v>
      </c>
      <c r="I19" s="5">
        <v>32.17</v>
      </c>
      <c r="J19" s="5">
        <v>193.02</v>
      </c>
      <c r="K19" s="5">
        <v>14.45</v>
      </c>
      <c r="L19" s="5">
        <v>58.57</v>
      </c>
      <c r="M19" s="9" t="s">
        <v>42</v>
      </c>
      <c r="N19" s="9" t="s">
        <v>21</v>
      </c>
      <c r="O19" s="9" t="s">
        <v>66</v>
      </c>
    </row>
    <row r="20" spans="1:15" x14ac:dyDescent="0.3">
      <c r="A20" s="9" t="s">
        <v>98</v>
      </c>
      <c r="B20" s="10">
        <v>46223</v>
      </c>
      <c r="C20" s="9" t="s">
        <v>100</v>
      </c>
      <c r="D20" s="9" t="str">
        <f>PROPER(E20)</f>
        <v>Singapore</v>
      </c>
      <c r="E20" s="9" t="s">
        <v>82</v>
      </c>
      <c r="F20" s="9" t="s">
        <v>27</v>
      </c>
      <c r="G20" s="9" t="s">
        <v>19</v>
      </c>
      <c r="H20" s="9">
        <v>37</v>
      </c>
      <c r="I20" s="5">
        <v>24.14</v>
      </c>
      <c r="J20" s="5">
        <v>893.18</v>
      </c>
      <c r="K20" s="5">
        <v>31.39</v>
      </c>
      <c r="L20" s="5">
        <v>195.79</v>
      </c>
      <c r="M20" s="9" t="s">
        <v>28</v>
      </c>
      <c r="N20" s="9" t="s">
        <v>29</v>
      </c>
      <c r="O20" s="9" t="s">
        <v>66</v>
      </c>
    </row>
    <row r="21" spans="1:15" x14ac:dyDescent="0.3">
      <c r="A21" s="9" t="s">
        <v>101</v>
      </c>
      <c r="B21" s="10">
        <v>46254</v>
      </c>
      <c r="C21" s="9" t="s">
        <v>46</v>
      </c>
      <c r="D21" s="9" t="str">
        <f>PROPER(E21)</f>
        <v>Uk</v>
      </c>
      <c r="E21" s="9" t="s">
        <v>26</v>
      </c>
      <c r="F21" s="9" t="s">
        <v>103</v>
      </c>
      <c r="G21" s="9" t="s">
        <v>59</v>
      </c>
      <c r="H21" s="9">
        <v>39</v>
      </c>
      <c r="I21" s="5">
        <v>37.840000000000003</v>
      </c>
      <c r="J21" s="5">
        <v>1475.76</v>
      </c>
      <c r="K21" s="5">
        <v>73.400000000000006</v>
      </c>
      <c r="L21" s="5">
        <v>310.36</v>
      </c>
      <c r="M21" s="9" t="s">
        <v>28</v>
      </c>
      <c r="N21" s="9" t="s">
        <v>35</v>
      </c>
      <c r="O21" s="9" t="s">
        <v>30</v>
      </c>
    </row>
    <row r="22" spans="1:15" x14ac:dyDescent="0.3">
      <c r="A22" s="9" t="s">
        <v>104</v>
      </c>
      <c r="B22" s="10">
        <v>46285</v>
      </c>
      <c r="C22" s="9" t="s">
        <v>106</v>
      </c>
      <c r="D22" s="9" t="str">
        <f>PROPER(E22)</f>
        <v>South Africa</v>
      </c>
      <c r="E22" s="9" t="s">
        <v>107</v>
      </c>
      <c r="F22" s="9" t="s">
        <v>48</v>
      </c>
      <c r="G22" s="9" t="s">
        <v>49</v>
      </c>
      <c r="H22" s="9">
        <v>6</v>
      </c>
      <c r="I22" s="5">
        <v>68.77</v>
      </c>
      <c r="J22" s="5">
        <v>412.62</v>
      </c>
      <c r="K22" s="5">
        <v>17.18</v>
      </c>
      <c r="L22" s="5">
        <v>155.44</v>
      </c>
      <c r="M22" s="9" t="s">
        <v>28</v>
      </c>
      <c r="N22" s="9" t="s">
        <v>21</v>
      </c>
      <c r="O22" s="9" t="s">
        <v>108</v>
      </c>
    </row>
    <row r="23" spans="1:15" x14ac:dyDescent="0.3">
      <c r="A23" s="9" t="s">
        <v>109</v>
      </c>
      <c r="B23" s="10">
        <v>46315</v>
      </c>
      <c r="C23" s="9" t="s">
        <v>111</v>
      </c>
      <c r="D23" s="9" t="str">
        <f>PROPER(E23)</f>
        <v>Canada</v>
      </c>
      <c r="E23" s="9" t="s">
        <v>47</v>
      </c>
      <c r="F23" s="9" t="s">
        <v>73</v>
      </c>
      <c r="G23" s="9" t="s">
        <v>41</v>
      </c>
      <c r="H23" s="9">
        <v>6</v>
      </c>
      <c r="I23" s="5">
        <v>18.5</v>
      </c>
      <c r="J23" s="5">
        <v>111</v>
      </c>
      <c r="K23" s="5">
        <v>5.26</v>
      </c>
      <c r="L23" s="5">
        <v>29.24</v>
      </c>
      <c r="M23" s="9" t="s">
        <v>42</v>
      </c>
      <c r="N23" s="9" t="s">
        <v>29</v>
      </c>
      <c r="O23" s="9" t="s">
        <v>22</v>
      </c>
    </row>
    <row r="24" spans="1:15" x14ac:dyDescent="0.3">
      <c r="A24" s="9" t="s">
        <v>112</v>
      </c>
      <c r="B24" s="10">
        <v>46346</v>
      </c>
      <c r="C24" s="9" t="s">
        <v>114</v>
      </c>
      <c r="D24" s="9" t="str">
        <f>PROPER(E24)</f>
        <v>Italy</v>
      </c>
      <c r="E24" s="9" t="s">
        <v>34</v>
      </c>
      <c r="F24" s="9" t="s">
        <v>58</v>
      </c>
      <c r="G24" s="9" t="s">
        <v>59</v>
      </c>
      <c r="H24" s="9">
        <v>33</v>
      </c>
      <c r="I24" s="5">
        <v>28.96</v>
      </c>
      <c r="J24" s="5">
        <v>955.68</v>
      </c>
      <c r="K24" s="5">
        <v>49.07</v>
      </c>
      <c r="L24" s="5">
        <v>164.11</v>
      </c>
      <c r="M24" s="9" t="s">
        <v>28</v>
      </c>
      <c r="N24" s="9" t="s">
        <v>21</v>
      </c>
      <c r="O24" s="9" t="s">
        <v>30</v>
      </c>
    </row>
    <row r="25" spans="1:15" x14ac:dyDescent="0.3">
      <c r="A25" s="9" t="s">
        <v>115</v>
      </c>
      <c r="B25" s="10">
        <v>46376</v>
      </c>
      <c r="C25" s="9" t="s">
        <v>117</v>
      </c>
      <c r="D25" s="9" t="str">
        <f>PROPER(E25)</f>
        <v>Canada</v>
      </c>
      <c r="E25" s="9" t="s">
        <v>47</v>
      </c>
      <c r="F25" s="9" t="s">
        <v>58</v>
      </c>
      <c r="G25" s="9" t="s">
        <v>59</v>
      </c>
      <c r="H25" s="9">
        <v>31</v>
      </c>
      <c r="I25" s="5">
        <v>35.020000000000003</v>
      </c>
      <c r="J25" s="5">
        <v>1085.6199999999999</v>
      </c>
      <c r="K25" s="5">
        <v>74.650000000000006</v>
      </c>
      <c r="L25" s="5">
        <v>313.47000000000003</v>
      </c>
      <c r="M25" s="9" t="s">
        <v>42</v>
      </c>
      <c r="N25" s="9" t="s">
        <v>21</v>
      </c>
      <c r="O25" s="9" t="s">
        <v>22</v>
      </c>
    </row>
    <row r="26" spans="1:15" x14ac:dyDescent="0.3">
      <c r="A26" s="9" t="s">
        <v>118</v>
      </c>
      <c r="B26" s="10">
        <v>46407</v>
      </c>
      <c r="C26" s="9" t="s">
        <v>120</v>
      </c>
      <c r="D26" s="9" t="str">
        <f>PROPER(E26)</f>
        <v>Canada</v>
      </c>
      <c r="E26" s="9" t="s">
        <v>47</v>
      </c>
      <c r="F26" s="9" t="s">
        <v>54</v>
      </c>
      <c r="G26" s="9" t="s">
        <v>41</v>
      </c>
      <c r="H26" s="9">
        <v>25</v>
      </c>
      <c r="I26" s="5">
        <v>31.57</v>
      </c>
      <c r="J26" s="5">
        <v>789.25</v>
      </c>
      <c r="K26" s="5">
        <v>56.47</v>
      </c>
      <c r="L26" s="5">
        <v>232.78</v>
      </c>
      <c r="M26" s="9" t="s">
        <v>28</v>
      </c>
      <c r="N26" s="9" t="s">
        <v>29</v>
      </c>
      <c r="O26" s="9" t="s">
        <v>22</v>
      </c>
    </row>
    <row r="27" spans="1:15" x14ac:dyDescent="0.3">
      <c r="A27" s="9" t="s">
        <v>121</v>
      </c>
      <c r="B27" s="10">
        <v>46438</v>
      </c>
      <c r="C27" s="9" t="s">
        <v>123</v>
      </c>
      <c r="D27" s="9" t="str">
        <f>PROPER(E27)</f>
        <v>Italy</v>
      </c>
      <c r="E27" s="9" t="s">
        <v>34</v>
      </c>
      <c r="F27" s="9" t="s">
        <v>69</v>
      </c>
      <c r="G27" s="9" t="s">
        <v>59</v>
      </c>
      <c r="H27" s="9">
        <v>14</v>
      </c>
      <c r="I27" s="5">
        <v>27.08</v>
      </c>
      <c r="J27" s="5">
        <v>379.12</v>
      </c>
      <c r="K27" s="5">
        <v>11.12</v>
      </c>
      <c r="L27" s="5">
        <v>151</v>
      </c>
      <c r="M27" s="9" t="s">
        <v>28</v>
      </c>
      <c r="N27" s="9" t="s">
        <v>35</v>
      </c>
      <c r="O27" s="9" t="s">
        <v>30</v>
      </c>
    </row>
    <row r="28" spans="1:15" x14ac:dyDescent="0.3">
      <c r="A28" s="9" t="s">
        <v>124</v>
      </c>
      <c r="B28" s="10">
        <v>46466</v>
      </c>
      <c r="C28" s="9" t="s">
        <v>38</v>
      </c>
      <c r="D28" s="9" t="str">
        <f>PROPER(E28)</f>
        <v>Italy</v>
      </c>
      <c r="E28" s="9" t="s">
        <v>34</v>
      </c>
      <c r="F28" s="9" t="s">
        <v>103</v>
      </c>
      <c r="G28" s="9" t="s">
        <v>59</v>
      </c>
      <c r="H28" s="9">
        <v>39</v>
      </c>
      <c r="I28" s="5">
        <v>35.32</v>
      </c>
      <c r="J28" s="5">
        <v>1377.48</v>
      </c>
      <c r="K28" s="5">
        <v>63.72</v>
      </c>
      <c r="L28" s="5">
        <v>221.76</v>
      </c>
      <c r="M28" s="9" t="s">
        <v>28</v>
      </c>
      <c r="N28" s="9" t="s">
        <v>29</v>
      </c>
      <c r="O28" s="9" t="s">
        <v>30</v>
      </c>
    </row>
    <row r="29" spans="1:15" x14ac:dyDescent="0.3">
      <c r="A29" s="9" t="s">
        <v>126</v>
      </c>
      <c r="B29" s="10">
        <v>46497</v>
      </c>
      <c r="C29" s="9" t="s">
        <v>128</v>
      </c>
      <c r="D29" s="9" t="str">
        <f>PROPER(E29)</f>
        <v>China</v>
      </c>
      <c r="E29" s="9" t="s">
        <v>63</v>
      </c>
      <c r="F29" s="9" t="s">
        <v>58</v>
      </c>
      <c r="G29" s="9" t="s">
        <v>59</v>
      </c>
      <c r="H29" s="9">
        <v>6</v>
      </c>
      <c r="I29" s="5">
        <v>39.630000000000003</v>
      </c>
      <c r="J29" s="5">
        <v>237.78</v>
      </c>
      <c r="K29" s="5">
        <v>8.08</v>
      </c>
      <c r="L29" s="5">
        <v>94.7</v>
      </c>
      <c r="M29" s="9" t="s">
        <v>20</v>
      </c>
      <c r="N29" s="9" t="s">
        <v>35</v>
      </c>
      <c r="O29" s="9" t="s">
        <v>66</v>
      </c>
    </row>
    <row r="30" spans="1:15" x14ac:dyDescent="0.3">
      <c r="A30" s="9" t="s">
        <v>129</v>
      </c>
      <c r="B30" s="10">
        <v>46527</v>
      </c>
      <c r="C30" s="9" t="s">
        <v>131</v>
      </c>
      <c r="D30" s="9" t="str">
        <f>PROPER(E30)</f>
        <v>South Africa</v>
      </c>
      <c r="E30" s="9" t="s">
        <v>107</v>
      </c>
      <c r="F30" s="9" t="s">
        <v>48</v>
      </c>
      <c r="G30" s="9" t="s">
        <v>49</v>
      </c>
      <c r="H30" s="9">
        <v>36</v>
      </c>
      <c r="I30" s="5">
        <v>68.400000000000006</v>
      </c>
      <c r="J30" s="5">
        <v>2462.4</v>
      </c>
      <c r="K30" s="5">
        <v>150.83000000000001</v>
      </c>
      <c r="L30" s="5">
        <v>871.57</v>
      </c>
      <c r="M30" s="9" t="s">
        <v>28</v>
      </c>
      <c r="N30" s="9" t="s">
        <v>21</v>
      </c>
      <c r="O30" s="9" t="s">
        <v>108</v>
      </c>
    </row>
    <row r="31" spans="1:15" x14ac:dyDescent="0.3">
      <c r="A31" s="9" t="s">
        <v>132</v>
      </c>
      <c r="B31" s="10">
        <v>46558</v>
      </c>
      <c r="C31" s="9" t="s">
        <v>92</v>
      </c>
      <c r="D31" s="9" t="str">
        <f>PROPER(E31)</f>
        <v>Italy</v>
      </c>
      <c r="E31" s="9" t="s">
        <v>34</v>
      </c>
      <c r="F31" s="9" t="s">
        <v>64</v>
      </c>
      <c r="G31" s="9" t="s">
        <v>65</v>
      </c>
      <c r="H31" s="9">
        <v>1</v>
      </c>
      <c r="I31" s="5">
        <v>44.98</v>
      </c>
      <c r="J31" s="5">
        <v>44.98</v>
      </c>
      <c r="K31" s="5">
        <v>2.81</v>
      </c>
      <c r="L31" s="5">
        <v>17.170000000000002</v>
      </c>
      <c r="M31" s="9" t="s">
        <v>28</v>
      </c>
      <c r="N31" s="9" t="s">
        <v>29</v>
      </c>
      <c r="O31" s="9" t="s">
        <v>30</v>
      </c>
    </row>
    <row r="32" spans="1:15" x14ac:dyDescent="0.3">
      <c r="A32" s="9" t="s">
        <v>134</v>
      </c>
      <c r="B32" s="10">
        <v>46588</v>
      </c>
      <c r="C32" s="9" t="s">
        <v>136</v>
      </c>
      <c r="D32" s="9" t="str">
        <f>PROPER(E32)</f>
        <v>France</v>
      </c>
      <c r="E32" s="9" t="s">
        <v>137</v>
      </c>
      <c r="F32" s="9" t="s">
        <v>103</v>
      </c>
      <c r="G32" s="9" t="s">
        <v>59</v>
      </c>
      <c r="H32" s="9">
        <v>3</v>
      </c>
      <c r="I32" s="5">
        <v>37.74</v>
      </c>
      <c r="J32" s="5">
        <v>113.22</v>
      </c>
      <c r="K32" s="5">
        <v>4.04</v>
      </c>
      <c r="L32" s="5">
        <v>25.18</v>
      </c>
      <c r="M32" s="9" t="s">
        <v>28</v>
      </c>
      <c r="N32" s="9" t="s">
        <v>29</v>
      </c>
      <c r="O32" s="9" t="s">
        <v>30</v>
      </c>
    </row>
    <row r="33" spans="1:15" x14ac:dyDescent="0.3">
      <c r="A33" s="9" t="s">
        <v>138</v>
      </c>
      <c r="B33" s="10">
        <v>46619</v>
      </c>
      <c r="C33" s="9" t="s">
        <v>140</v>
      </c>
      <c r="D33" s="9" t="str">
        <f>PROPER(E33)</f>
        <v>France</v>
      </c>
      <c r="E33" s="9" t="s">
        <v>137</v>
      </c>
      <c r="F33" s="9" t="s">
        <v>64</v>
      </c>
      <c r="G33" s="9" t="s">
        <v>65</v>
      </c>
      <c r="H33" s="9">
        <v>12</v>
      </c>
      <c r="I33" s="5">
        <v>39.799999999999997</v>
      </c>
      <c r="J33" s="5">
        <v>477.6</v>
      </c>
      <c r="K33" s="5">
        <v>20.54</v>
      </c>
      <c r="L33" s="5">
        <v>157.06</v>
      </c>
      <c r="M33" s="9" t="s">
        <v>42</v>
      </c>
      <c r="N33" s="9" t="s">
        <v>29</v>
      </c>
      <c r="O33" s="9" t="s">
        <v>30</v>
      </c>
    </row>
    <row r="34" spans="1:15" x14ac:dyDescent="0.3">
      <c r="A34" s="9" t="s">
        <v>141</v>
      </c>
      <c r="B34" s="10">
        <v>46650</v>
      </c>
      <c r="C34" s="9" t="s">
        <v>143</v>
      </c>
      <c r="D34" s="9" t="str">
        <f>PROPER(E34)</f>
        <v>China</v>
      </c>
      <c r="E34" s="9" t="s">
        <v>63</v>
      </c>
      <c r="F34" s="9" t="s">
        <v>40</v>
      </c>
      <c r="G34" s="9" t="s">
        <v>41</v>
      </c>
      <c r="H34" s="9">
        <v>26</v>
      </c>
      <c r="I34" s="5">
        <v>43.23</v>
      </c>
      <c r="J34" s="5">
        <v>1123.98</v>
      </c>
      <c r="K34" s="5">
        <v>57.2</v>
      </c>
      <c r="L34" s="5">
        <v>234.78</v>
      </c>
      <c r="M34" s="9" t="s">
        <v>28</v>
      </c>
      <c r="N34" s="9" t="s">
        <v>35</v>
      </c>
      <c r="O34" s="9" t="s">
        <v>66</v>
      </c>
    </row>
    <row r="35" spans="1:15" x14ac:dyDescent="0.3">
      <c r="A35" s="9" t="s">
        <v>144</v>
      </c>
      <c r="B35" s="10">
        <v>46680</v>
      </c>
      <c r="C35" s="9" t="s">
        <v>38</v>
      </c>
      <c r="D35" s="9" t="str">
        <f>PROPER(E35)</f>
        <v>Italy</v>
      </c>
      <c r="E35" s="9" t="s">
        <v>34</v>
      </c>
      <c r="F35" s="9" t="s">
        <v>48</v>
      </c>
      <c r="G35" s="9" t="s">
        <v>49</v>
      </c>
      <c r="H35" s="9">
        <v>17</v>
      </c>
      <c r="I35" s="5">
        <v>66.34</v>
      </c>
      <c r="J35" s="5">
        <v>1127.78</v>
      </c>
      <c r="K35" s="5">
        <v>81.150000000000006</v>
      </c>
      <c r="L35" s="5">
        <v>366.63</v>
      </c>
      <c r="M35" s="9" t="s">
        <v>28</v>
      </c>
      <c r="N35" s="9" t="s">
        <v>35</v>
      </c>
      <c r="O35" s="9" t="s">
        <v>30</v>
      </c>
    </row>
    <row r="36" spans="1:15" x14ac:dyDescent="0.3">
      <c r="A36" s="9" t="s">
        <v>146</v>
      </c>
      <c r="B36" s="10">
        <v>46711</v>
      </c>
      <c r="C36" s="9" t="s">
        <v>148</v>
      </c>
      <c r="D36" s="9" t="str">
        <f>PROPER(E36)</f>
        <v>Singapore</v>
      </c>
      <c r="E36" s="9" t="s">
        <v>82</v>
      </c>
      <c r="F36" s="9" t="s">
        <v>64</v>
      </c>
      <c r="G36" s="9" t="s">
        <v>65</v>
      </c>
      <c r="H36" s="9">
        <v>4</v>
      </c>
      <c r="I36" s="5">
        <v>33.869999999999997</v>
      </c>
      <c r="J36" s="5">
        <v>135.47999999999999</v>
      </c>
      <c r="K36" s="5">
        <v>6.59</v>
      </c>
      <c r="L36" s="5">
        <v>28.89</v>
      </c>
      <c r="M36" s="9" t="s">
        <v>20</v>
      </c>
      <c r="N36" s="9" t="s">
        <v>35</v>
      </c>
      <c r="O36" s="9" t="s">
        <v>66</v>
      </c>
    </row>
    <row r="37" spans="1:15" x14ac:dyDescent="0.3">
      <c r="A37" s="9" t="s">
        <v>149</v>
      </c>
      <c r="B37" s="10">
        <v>46741</v>
      </c>
      <c r="C37" s="9" t="s">
        <v>151</v>
      </c>
      <c r="D37" s="9" t="str">
        <f>PROPER(E37)</f>
        <v>Italy</v>
      </c>
      <c r="E37" s="9" t="s">
        <v>34</v>
      </c>
      <c r="F37" s="9" t="s">
        <v>48</v>
      </c>
      <c r="G37" s="9" t="s">
        <v>49</v>
      </c>
      <c r="H37" s="9">
        <v>10</v>
      </c>
      <c r="I37" s="5">
        <v>64.650000000000006</v>
      </c>
      <c r="J37" s="5">
        <v>646.5</v>
      </c>
      <c r="K37" s="5">
        <v>17.89</v>
      </c>
      <c r="L37" s="5">
        <v>228.61</v>
      </c>
      <c r="M37" s="9" t="s">
        <v>42</v>
      </c>
      <c r="N37" s="9" t="s">
        <v>21</v>
      </c>
      <c r="O37" s="9" t="s">
        <v>30</v>
      </c>
    </row>
    <row r="38" spans="1:15" x14ac:dyDescent="0.3">
      <c r="A38" s="9" t="s">
        <v>152</v>
      </c>
      <c r="B38" s="10">
        <v>46772</v>
      </c>
      <c r="C38" s="9" t="s">
        <v>154</v>
      </c>
      <c r="D38" s="9" t="str">
        <f>PROPER(E38)</f>
        <v>South Africa</v>
      </c>
      <c r="E38" s="9" t="s">
        <v>107</v>
      </c>
      <c r="F38" s="9" t="s">
        <v>58</v>
      </c>
      <c r="G38" s="9" t="s">
        <v>59</v>
      </c>
      <c r="H38" s="9">
        <v>12</v>
      </c>
      <c r="I38" s="5">
        <v>29.56</v>
      </c>
      <c r="J38" s="5">
        <v>354.72</v>
      </c>
      <c r="K38" s="5">
        <v>21.4</v>
      </c>
      <c r="L38" s="5">
        <v>63.32</v>
      </c>
      <c r="M38" s="9" t="s">
        <v>28</v>
      </c>
      <c r="N38" s="9" t="s">
        <v>21</v>
      </c>
      <c r="O38" s="9" t="s">
        <v>108</v>
      </c>
    </row>
    <row r="39" spans="1:15" x14ac:dyDescent="0.3">
      <c r="A39" s="9" t="s">
        <v>155</v>
      </c>
      <c r="B39" s="10">
        <v>46803</v>
      </c>
      <c r="C39" s="9" t="s">
        <v>157</v>
      </c>
      <c r="D39" s="9" t="str">
        <f>PROPER(E39)</f>
        <v>Usa</v>
      </c>
      <c r="E39" s="9" t="s">
        <v>17</v>
      </c>
      <c r="F39" s="9" t="s">
        <v>64</v>
      </c>
      <c r="G39" s="9" t="s">
        <v>65</v>
      </c>
      <c r="H39" s="9">
        <v>4</v>
      </c>
      <c r="I39" s="5">
        <v>35.36</v>
      </c>
      <c r="J39" s="5">
        <v>141.44</v>
      </c>
      <c r="K39" s="5">
        <v>8.66</v>
      </c>
      <c r="L39" s="5">
        <v>32.78</v>
      </c>
      <c r="M39" s="9" t="s">
        <v>42</v>
      </c>
      <c r="N39" s="9" t="s">
        <v>29</v>
      </c>
      <c r="O39" s="9" t="s">
        <v>22</v>
      </c>
    </row>
    <row r="40" spans="1:15" x14ac:dyDescent="0.3">
      <c r="A40" s="9" t="s">
        <v>158</v>
      </c>
      <c r="B40" s="10">
        <v>46832</v>
      </c>
      <c r="C40" s="9" t="s">
        <v>160</v>
      </c>
      <c r="D40" s="9" t="str">
        <f>PROPER(E40)</f>
        <v>Italy</v>
      </c>
      <c r="E40" s="9" t="s">
        <v>34</v>
      </c>
      <c r="F40" s="9" t="s">
        <v>54</v>
      </c>
      <c r="G40" s="9" t="s">
        <v>41</v>
      </c>
      <c r="H40" s="9">
        <v>28</v>
      </c>
      <c r="I40" s="5">
        <v>31.42</v>
      </c>
      <c r="J40" s="5">
        <v>879.76</v>
      </c>
      <c r="K40" s="5">
        <v>69.319999999999993</v>
      </c>
      <c r="L40" s="5">
        <v>250.44</v>
      </c>
      <c r="M40" s="9" t="s">
        <v>20</v>
      </c>
      <c r="N40" s="9" t="s">
        <v>35</v>
      </c>
      <c r="O40" s="9" t="s">
        <v>30</v>
      </c>
    </row>
    <row r="41" spans="1:15" x14ac:dyDescent="0.3">
      <c r="A41" s="9" t="s">
        <v>161</v>
      </c>
      <c r="B41" s="10">
        <v>46863</v>
      </c>
      <c r="C41" s="9" t="s">
        <v>163</v>
      </c>
      <c r="D41" s="9" t="str">
        <f>PROPER(E41)</f>
        <v>Usa</v>
      </c>
      <c r="E41" s="9" t="s">
        <v>17</v>
      </c>
      <c r="F41" s="9" t="s">
        <v>18</v>
      </c>
      <c r="G41" s="9" t="s">
        <v>19</v>
      </c>
      <c r="H41" s="9">
        <v>35</v>
      </c>
      <c r="I41" s="5">
        <v>55.12</v>
      </c>
      <c r="J41" s="5">
        <v>1929.2</v>
      </c>
      <c r="K41" s="5">
        <v>58.22</v>
      </c>
      <c r="L41" s="5">
        <v>645.98</v>
      </c>
      <c r="M41" s="9" t="s">
        <v>20</v>
      </c>
      <c r="N41" s="9" t="s">
        <v>21</v>
      </c>
      <c r="O41" s="9" t="s">
        <v>22</v>
      </c>
    </row>
    <row r="42" spans="1:15" x14ac:dyDescent="0.3">
      <c r="A42" s="9" t="s">
        <v>164</v>
      </c>
      <c r="B42" s="10">
        <v>46893</v>
      </c>
      <c r="C42" s="9" t="s">
        <v>166</v>
      </c>
      <c r="D42" s="9" t="str">
        <f>PROPER(E42)</f>
        <v>Uae</v>
      </c>
      <c r="E42" s="9" t="s">
        <v>89</v>
      </c>
      <c r="F42" s="9" t="s">
        <v>58</v>
      </c>
      <c r="G42" s="9" t="s">
        <v>59</v>
      </c>
      <c r="H42" s="9">
        <v>41</v>
      </c>
      <c r="I42" s="5">
        <v>33.94</v>
      </c>
      <c r="J42" s="5">
        <v>1391.54</v>
      </c>
      <c r="K42" s="5">
        <v>33.26</v>
      </c>
      <c r="L42" s="5">
        <v>435.78</v>
      </c>
      <c r="M42" s="9" t="s">
        <v>20</v>
      </c>
      <c r="N42" s="9" t="s">
        <v>35</v>
      </c>
      <c r="O42" s="9" t="s">
        <v>66</v>
      </c>
    </row>
    <row r="43" spans="1:15" x14ac:dyDescent="0.3">
      <c r="A43" s="9" t="s">
        <v>167</v>
      </c>
      <c r="B43" s="10">
        <v>46924</v>
      </c>
      <c r="C43" s="9" t="s">
        <v>85</v>
      </c>
      <c r="D43" s="9" t="str">
        <f>PROPER(E43)</f>
        <v>Singapore</v>
      </c>
      <c r="E43" s="9" t="s">
        <v>82</v>
      </c>
      <c r="F43" s="9" t="s">
        <v>58</v>
      </c>
      <c r="G43" s="9" t="s">
        <v>59</v>
      </c>
      <c r="H43" s="9">
        <v>20</v>
      </c>
      <c r="I43" s="5">
        <v>38.43</v>
      </c>
      <c r="J43" s="5">
        <v>768.6</v>
      </c>
      <c r="K43" s="5">
        <v>60.07</v>
      </c>
      <c r="L43" s="5">
        <v>258.52999999999997</v>
      </c>
      <c r="M43" s="9" t="s">
        <v>42</v>
      </c>
      <c r="N43" s="9" t="s">
        <v>35</v>
      </c>
      <c r="O43" s="9" t="s">
        <v>66</v>
      </c>
    </row>
    <row r="44" spans="1:15" x14ac:dyDescent="0.3">
      <c r="A44" s="9" t="s">
        <v>168</v>
      </c>
      <c r="B44" s="10">
        <v>46954</v>
      </c>
      <c r="C44" s="9" t="s">
        <v>88</v>
      </c>
      <c r="D44" s="9" t="str">
        <f>PROPER(E44)</f>
        <v>Brazil</v>
      </c>
      <c r="E44" s="9" t="s">
        <v>39</v>
      </c>
      <c r="F44" s="9" t="s">
        <v>64</v>
      </c>
      <c r="G44" s="9" t="s">
        <v>65</v>
      </c>
      <c r="H44" s="9">
        <v>23</v>
      </c>
      <c r="I44" s="5">
        <v>35.07</v>
      </c>
      <c r="J44" s="5">
        <v>806.61</v>
      </c>
      <c r="K44" s="5">
        <v>21.23</v>
      </c>
      <c r="L44" s="5">
        <v>210.38</v>
      </c>
      <c r="M44" s="9" t="s">
        <v>20</v>
      </c>
      <c r="N44" s="9" t="s">
        <v>35</v>
      </c>
      <c r="O44" s="9" t="s">
        <v>43</v>
      </c>
    </row>
    <row r="45" spans="1:15" x14ac:dyDescent="0.3">
      <c r="A45" s="9" t="s">
        <v>170</v>
      </c>
      <c r="B45" s="10">
        <v>46985</v>
      </c>
      <c r="C45" s="9" t="s">
        <v>79</v>
      </c>
      <c r="D45" s="9" t="str">
        <f>PROPER(E45)</f>
        <v>Australia</v>
      </c>
      <c r="E45" s="9" t="s">
        <v>172</v>
      </c>
      <c r="F45" s="9" t="s">
        <v>48</v>
      </c>
      <c r="G45" s="9" t="s">
        <v>49</v>
      </c>
      <c r="H45" s="9">
        <v>35</v>
      </c>
      <c r="I45" s="5">
        <v>71.44</v>
      </c>
      <c r="J45" s="5">
        <v>2500.4</v>
      </c>
      <c r="K45" s="5">
        <v>166.81</v>
      </c>
      <c r="L45" s="5">
        <v>933.59</v>
      </c>
      <c r="M45" s="9" t="s">
        <v>28</v>
      </c>
      <c r="N45" s="9" t="s">
        <v>29</v>
      </c>
      <c r="O45" s="9" t="s">
        <v>173</v>
      </c>
    </row>
    <row r="46" spans="1:15" x14ac:dyDescent="0.3">
      <c r="A46" s="9" t="s">
        <v>174</v>
      </c>
      <c r="B46" s="10">
        <v>47016</v>
      </c>
      <c r="C46" s="9" t="s">
        <v>151</v>
      </c>
      <c r="D46" s="9" t="str">
        <f>PROPER(E46)</f>
        <v>Canada</v>
      </c>
      <c r="E46" s="9" t="s">
        <v>47</v>
      </c>
      <c r="F46" s="9" t="s">
        <v>27</v>
      </c>
      <c r="G46" s="9" t="s">
        <v>19</v>
      </c>
      <c r="H46" s="9">
        <v>11</v>
      </c>
      <c r="I46" s="5">
        <v>26.05</v>
      </c>
      <c r="J46" s="5">
        <v>286.55</v>
      </c>
      <c r="K46" s="5">
        <v>13.39</v>
      </c>
      <c r="L46" s="5">
        <v>75.16</v>
      </c>
      <c r="M46" s="9" t="s">
        <v>28</v>
      </c>
      <c r="N46" s="9" t="s">
        <v>21</v>
      </c>
      <c r="O46" s="9" t="s">
        <v>22</v>
      </c>
    </row>
    <row r="47" spans="1:15" x14ac:dyDescent="0.3">
      <c r="A47" s="9" t="s">
        <v>176</v>
      </c>
      <c r="B47" s="10">
        <v>47046</v>
      </c>
      <c r="C47" s="9" t="s">
        <v>46</v>
      </c>
      <c r="D47" s="9" t="str">
        <f>PROPER(E47)</f>
        <v>Uk</v>
      </c>
      <c r="E47" s="9" t="s">
        <v>26</v>
      </c>
      <c r="F47" s="9" t="s">
        <v>69</v>
      </c>
      <c r="G47" s="9" t="s">
        <v>59</v>
      </c>
      <c r="H47" s="9">
        <v>46</v>
      </c>
      <c r="I47" s="5">
        <v>26.67</v>
      </c>
      <c r="J47" s="5">
        <v>1226.82</v>
      </c>
      <c r="K47" s="5">
        <v>83.55</v>
      </c>
      <c r="L47" s="5">
        <v>430.27</v>
      </c>
      <c r="M47" s="9" t="s">
        <v>20</v>
      </c>
      <c r="N47" s="9" t="s">
        <v>35</v>
      </c>
      <c r="O47" s="9" t="s">
        <v>30</v>
      </c>
    </row>
    <row r="48" spans="1:15" x14ac:dyDescent="0.3">
      <c r="A48" s="9" t="s">
        <v>178</v>
      </c>
      <c r="B48" s="10">
        <v>47077</v>
      </c>
      <c r="C48" s="9" t="s">
        <v>114</v>
      </c>
      <c r="D48" s="9" t="str">
        <f>PROPER(E48)</f>
        <v>Uk</v>
      </c>
      <c r="E48" s="9" t="s">
        <v>26</v>
      </c>
      <c r="F48" s="9" t="s">
        <v>103</v>
      </c>
      <c r="G48" s="9" t="s">
        <v>59</v>
      </c>
      <c r="H48" s="9">
        <v>12</v>
      </c>
      <c r="I48" s="5">
        <v>42.84</v>
      </c>
      <c r="J48" s="5">
        <v>514.08000000000004</v>
      </c>
      <c r="K48" s="5">
        <v>22.74</v>
      </c>
      <c r="L48" s="5">
        <v>155.34</v>
      </c>
      <c r="M48" s="9" t="s">
        <v>42</v>
      </c>
      <c r="N48" s="9" t="s">
        <v>21</v>
      </c>
      <c r="O48" s="9" t="s">
        <v>30</v>
      </c>
    </row>
    <row r="49" spans="1:15" x14ac:dyDescent="0.3">
      <c r="A49" s="9" t="s">
        <v>180</v>
      </c>
      <c r="B49" s="10">
        <v>47107</v>
      </c>
      <c r="C49" s="9" t="s">
        <v>182</v>
      </c>
      <c r="D49" s="9" t="str">
        <f>PROPER(E49)</f>
        <v>Singapore</v>
      </c>
      <c r="E49" s="9" t="s">
        <v>82</v>
      </c>
      <c r="F49" s="9" t="s">
        <v>27</v>
      </c>
      <c r="G49" s="9" t="s">
        <v>19</v>
      </c>
      <c r="H49" s="9">
        <v>18</v>
      </c>
      <c r="I49" s="5">
        <v>30.89</v>
      </c>
      <c r="J49" s="5">
        <v>556.02</v>
      </c>
      <c r="K49" s="5">
        <v>12</v>
      </c>
      <c r="L49" s="5">
        <v>220.02</v>
      </c>
      <c r="M49" s="9" t="s">
        <v>28</v>
      </c>
      <c r="N49" s="9" t="s">
        <v>21</v>
      </c>
      <c r="O49" s="9" t="s">
        <v>66</v>
      </c>
    </row>
    <row r="50" spans="1:15" x14ac:dyDescent="0.3">
      <c r="A50" s="9" t="s">
        <v>183</v>
      </c>
      <c r="B50" s="10">
        <v>47138</v>
      </c>
      <c r="C50" s="9" t="s">
        <v>185</v>
      </c>
      <c r="D50" s="9" t="str">
        <f>PROPER(E50)</f>
        <v>Canada</v>
      </c>
      <c r="E50" s="9" t="s">
        <v>47</v>
      </c>
      <c r="F50" s="9" t="s">
        <v>18</v>
      </c>
      <c r="G50" s="9" t="s">
        <v>19</v>
      </c>
      <c r="H50" s="9">
        <v>21</v>
      </c>
      <c r="I50" s="5">
        <v>52.41</v>
      </c>
      <c r="J50" s="5">
        <v>1100.6099999999999</v>
      </c>
      <c r="K50" s="5">
        <v>81.099999999999994</v>
      </c>
      <c r="L50" s="5">
        <v>284.51</v>
      </c>
      <c r="M50" s="9" t="s">
        <v>42</v>
      </c>
      <c r="N50" s="9" t="s">
        <v>29</v>
      </c>
      <c r="O50" s="9" t="s">
        <v>22</v>
      </c>
    </row>
    <row r="51" spans="1:15" x14ac:dyDescent="0.3">
      <c r="A51" s="9" t="s">
        <v>186</v>
      </c>
      <c r="B51" s="10">
        <v>47169</v>
      </c>
      <c r="C51" s="9" t="s">
        <v>188</v>
      </c>
      <c r="D51" s="9" t="str">
        <f>PROPER(E51)</f>
        <v>Australia</v>
      </c>
      <c r="E51" s="9" t="s">
        <v>172</v>
      </c>
      <c r="F51" s="9" t="s">
        <v>103</v>
      </c>
      <c r="G51" s="9" t="s">
        <v>59</v>
      </c>
      <c r="H51" s="9">
        <v>17</v>
      </c>
      <c r="I51" s="5">
        <v>38.64</v>
      </c>
      <c r="J51" s="5">
        <v>656.88</v>
      </c>
      <c r="K51" s="5">
        <v>13.86</v>
      </c>
      <c r="L51" s="5">
        <v>167.02</v>
      </c>
      <c r="M51" s="9" t="s">
        <v>28</v>
      </c>
      <c r="N51" s="9" t="s">
        <v>21</v>
      </c>
      <c r="O51" s="9" t="s">
        <v>173</v>
      </c>
    </row>
    <row r="52" spans="1:15" x14ac:dyDescent="0.3">
      <c r="A52" s="9" t="s">
        <v>189</v>
      </c>
      <c r="B52" s="10">
        <v>47197</v>
      </c>
      <c r="C52" s="9" t="s">
        <v>157</v>
      </c>
      <c r="D52" s="9" t="str">
        <f>PROPER(E52)</f>
        <v>Japan</v>
      </c>
      <c r="E52" s="9" t="s">
        <v>93</v>
      </c>
      <c r="F52" s="9" t="s">
        <v>27</v>
      </c>
      <c r="G52" s="9" t="s">
        <v>19</v>
      </c>
      <c r="H52" s="9">
        <v>41</v>
      </c>
      <c r="I52" s="5">
        <v>25.79</v>
      </c>
      <c r="J52" s="5">
        <v>1057.3900000000001</v>
      </c>
      <c r="K52" s="5">
        <v>71.22</v>
      </c>
      <c r="L52" s="5">
        <v>248.17</v>
      </c>
      <c r="M52" s="9" t="s">
        <v>28</v>
      </c>
      <c r="N52" s="9" t="s">
        <v>29</v>
      </c>
      <c r="O52" s="9" t="s">
        <v>66</v>
      </c>
    </row>
    <row r="53" spans="1:15" x14ac:dyDescent="0.3">
      <c r="A53" s="9" t="s">
        <v>191</v>
      </c>
      <c r="B53" s="10">
        <v>47228</v>
      </c>
      <c r="C53" s="9" t="s">
        <v>193</v>
      </c>
      <c r="D53" s="9" t="str">
        <f>PROPER(E53)</f>
        <v>Japan</v>
      </c>
      <c r="E53" s="9" t="s">
        <v>93</v>
      </c>
      <c r="F53" s="9" t="s">
        <v>103</v>
      </c>
      <c r="G53" s="9" t="s">
        <v>59</v>
      </c>
      <c r="H53" s="9">
        <v>41</v>
      </c>
      <c r="I53" s="5">
        <v>41.13</v>
      </c>
      <c r="J53" s="5">
        <v>1686.33</v>
      </c>
      <c r="K53" s="5">
        <v>80.12</v>
      </c>
      <c r="L53" s="5">
        <v>458.21</v>
      </c>
      <c r="M53" s="9" t="s">
        <v>28</v>
      </c>
      <c r="N53" s="9" t="s">
        <v>35</v>
      </c>
      <c r="O53" s="9" t="s">
        <v>66</v>
      </c>
    </row>
    <row r="54" spans="1:15" x14ac:dyDescent="0.3">
      <c r="A54" s="9" t="s">
        <v>194</v>
      </c>
      <c r="B54" s="10">
        <v>47258</v>
      </c>
      <c r="C54" s="9" t="s">
        <v>79</v>
      </c>
      <c r="D54" s="9" t="str">
        <f>PROPER(E54)</f>
        <v>China</v>
      </c>
      <c r="E54" s="9" t="s">
        <v>63</v>
      </c>
      <c r="F54" s="9" t="s">
        <v>48</v>
      </c>
      <c r="G54" s="9" t="s">
        <v>49</v>
      </c>
      <c r="H54" s="9">
        <v>33</v>
      </c>
      <c r="I54" s="5">
        <v>55.67</v>
      </c>
      <c r="J54" s="5">
        <v>1837.11</v>
      </c>
      <c r="K54" s="5">
        <v>144.32</v>
      </c>
      <c r="L54" s="5">
        <v>372.79</v>
      </c>
      <c r="M54" s="9" t="s">
        <v>20</v>
      </c>
      <c r="N54" s="9" t="s">
        <v>21</v>
      </c>
      <c r="O54" s="9" t="s">
        <v>66</v>
      </c>
    </row>
    <row r="55" spans="1:15" x14ac:dyDescent="0.3">
      <c r="A55" s="9" t="s">
        <v>196</v>
      </c>
      <c r="B55" s="10">
        <v>47289</v>
      </c>
      <c r="C55" s="9" t="s">
        <v>198</v>
      </c>
      <c r="D55" s="9" t="str">
        <f>PROPER(E55)</f>
        <v>Japan</v>
      </c>
      <c r="E55" s="9" t="s">
        <v>93</v>
      </c>
      <c r="F55" s="9" t="s">
        <v>48</v>
      </c>
      <c r="G55" s="9" t="s">
        <v>49</v>
      </c>
      <c r="H55" s="9">
        <v>18</v>
      </c>
      <c r="I55" s="5">
        <v>50.87</v>
      </c>
      <c r="J55" s="5">
        <v>915.66</v>
      </c>
      <c r="K55" s="5">
        <v>49.93</v>
      </c>
      <c r="L55" s="5">
        <v>145.72999999999999</v>
      </c>
      <c r="M55" s="9" t="s">
        <v>20</v>
      </c>
      <c r="N55" s="9" t="s">
        <v>29</v>
      </c>
      <c r="O55" s="9" t="s">
        <v>66</v>
      </c>
    </row>
    <row r="56" spans="1:15" x14ac:dyDescent="0.3">
      <c r="A56" s="9" t="s">
        <v>199</v>
      </c>
      <c r="B56" s="10">
        <v>47319</v>
      </c>
      <c r="C56" s="9" t="s">
        <v>201</v>
      </c>
      <c r="D56" s="9" t="str">
        <f>PROPER(E56)</f>
        <v>South Africa</v>
      </c>
      <c r="E56" s="9" t="s">
        <v>107</v>
      </c>
      <c r="F56" s="9" t="s">
        <v>69</v>
      </c>
      <c r="G56" s="9" t="s">
        <v>59</v>
      </c>
      <c r="H56" s="9">
        <v>14</v>
      </c>
      <c r="I56" s="5">
        <v>26.7</v>
      </c>
      <c r="J56" s="5">
        <v>373.8</v>
      </c>
      <c r="K56" s="5">
        <v>11.84</v>
      </c>
      <c r="L56" s="5">
        <v>144.96</v>
      </c>
      <c r="M56" s="9" t="s">
        <v>42</v>
      </c>
      <c r="N56" s="9" t="s">
        <v>21</v>
      </c>
      <c r="O56" s="9" t="s">
        <v>108</v>
      </c>
    </row>
    <row r="57" spans="1:15" x14ac:dyDescent="0.3">
      <c r="A57" s="9" t="s">
        <v>202</v>
      </c>
      <c r="B57" s="10">
        <v>47350</v>
      </c>
      <c r="C57" s="9" t="s">
        <v>204</v>
      </c>
      <c r="D57" s="9" t="str">
        <f>PROPER(E57)</f>
        <v>Usa</v>
      </c>
      <c r="E57" s="9" t="s">
        <v>17</v>
      </c>
      <c r="F57" s="9" t="s">
        <v>27</v>
      </c>
      <c r="G57" s="9" t="s">
        <v>19</v>
      </c>
      <c r="H57" s="9">
        <v>16</v>
      </c>
      <c r="I57" s="5">
        <v>28.96</v>
      </c>
      <c r="J57" s="5">
        <v>463.36</v>
      </c>
      <c r="K57" s="5">
        <v>35.65</v>
      </c>
      <c r="L57" s="5">
        <v>139.71</v>
      </c>
      <c r="M57" s="9" t="s">
        <v>20</v>
      </c>
      <c r="N57" s="9" t="s">
        <v>35</v>
      </c>
      <c r="O57" s="9" t="s">
        <v>22</v>
      </c>
    </row>
    <row r="58" spans="1:15" x14ac:dyDescent="0.3">
      <c r="A58" s="9" t="s">
        <v>205</v>
      </c>
      <c r="B58" s="10">
        <v>47381</v>
      </c>
      <c r="C58" s="9" t="s">
        <v>79</v>
      </c>
      <c r="D58" s="9" t="str">
        <f>PROPER(E58)</f>
        <v>Germany</v>
      </c>
      <c r="E58" s="9" t="s">
        <v>207</v>
      </c>
      <c r="F58" s="9" t="s">
        <v>27</v>
      </c>
      <c r="G58" s="9" t="s">
        <v>19</v>
      </c>
      <c r="H58" s="9">
        <v>47</v>
      </c>
      <c r="I58" s="5">
        <v>23.03</v>
      </c>
      <c r="J58" s="5">
        <v>1082.4100000000001</v>
      </c>
      <c r="K58" s="5">
        <v>50.12</v>
      </c>
      <c r="L58" s="5">
        <v>186.29</v>
      </c>
      <c r="M58" s="9" t="s">
        <v>42</v>
      </c>
      <c r="N58" s="9" t="s">
        <v>21</v>
      </c>
      <c r="O58" s="9" t="s">
        <v>30</v>
      </c>
    </row>
    <row r="59" spans="1:15" x14ac:dyDescent="0.3">
      <c r="A59" s="9" t="s">
        <v>208</v>
      </c>
      <c r="B59" s="10">
        <v>47411</v>
      </c>
      <c r="C59" s="9" t="s">
        <v>204</v>
      </c>
      <c r="D59" s="9" t="str">
        <f>PROPER(E59)</f>
        <v>Australia</v>
      </c>
      <c r="E59" s="9" t="s">
        <v>172</v>
      </c>
      <c r="F59" s="9" t="s">
        <v>18</v>
      </c>
      <c r="G59" s="9" t="s">
        <v>19</v>
      </c>
      <c r="H59" s="9">
        <v>18</v>
      </c>
      <c r="I59" s="5">
        <v>50.03</v>
      </c>
      <c r="J59" s="5">
        <v>900.54</v>
      </c>
      <c r="K59" s="5">
        <v>68.44</v>
      </c>
      <c r="L59" s="5">
        <v>202.1</v>
      </c>
      <c r="M59" s="9" t="s">
        <v>42</v>
      </c>
      <c r="N59" s="9" t="s">
        <v>21</v>
      </c>
      <c r="O59" s="9" t="s">
        <v>173</v>
      </c>
    </row>
    <row r="60" spans="1:15" x14ac:dyDescent="0.3">
      <c r="A60" s="9" t="s">
        <v>210</v>
      </c>
      <c r="B60" s="10">
        <v>47442</v>
      </c>
      <c r="C60" s="9" t="s">
        <v>212</v>
      </c>
      <c r="D60" s="9" t="str">
        <f>PROPER(E60)</f>
        <v>Uk</v>
      </c>
      <c r="E60" s="9" t="s">
        <v>26</v>
      </c>
      <c r="F60" s="9" t="s">
        <v>64</v>
      </c>
      <c r="G60" s="9" t="s">
        <v>65</v>
      </c>
      <c r="H60" s="9">
        <v>38</v>
      </c>
      <c r="I60" s="5">
        <v>32.07</v>
      </c>
      <c r="J60" s="5">
        <v>1218.6600000000001</v>
      </c>
      <c r="K60" s="5">
        <v>54.49</v>
      </c>
      <c r="L60" s="5">
        <v>214.17</v>
      </c>
      <c r="M60" s="9" t="s">
        <v>42</v>
      </c>
      <c r="N60" s="9" t="s">
        <v>35</v>
      </c>
      <c r="O60" s="9" t="s">
        <v>30</v>
      </c>
    </row>
    <row r="61" spans="1:15" x14ac:dyDescent="0.3">
      <c r="A61" s="9" t="s">
        <v>213</v>
      </c>
      <c r="B61" s="10">
        <v>47472</v>
      </c>
      <c r="C61" s="9" t="s">
        <v>215</v>
      </c>
      <c r="D61" s="9" t="str">
        <f>PROPER(E61)</f>
        <v>Brazil</v>
      </c>
      <c r="E61" s="9" t="s">
        <v>39</v>
      </c>
      <c r="F61" s="9" t="s">
        <v>40</v>
      </c>
      <c r="G61" s="9" t="s">
        <v>41</v>
      </c>
      <c r="H61" s="9">
        <v>23</v>
      </c>
      <c r="I61" s="5">
        <v>50.96</v>
      </c>
      <c r="J61" s="5">
        <v>1172.08</v>
      </c>
      <c r="K61" s="5">
        <v>61</v>
      </c>
      <c r="L61" s="5">
        <v>375.08</v>
      </c>
      <c r="M61" s="9" t="s">
        <v>42</v>
      </c>
      <c r="N61" s="9" t="s">
        <v>29</v>
      </c>
      <c r="O61" s="9" t="s">
        <v>43</v>
      </c>
    </row>
    <row r="62" spans="1:15" x14ac:dyDescent="0.3">
      <c r="A62" s="9" t="s">
        <v>216</v>
      </c>
      <c r="B62" s="10">
        <v>47503</v>
      </c>
      <c r="C62" s="9" t="s">
        <v>218</v>
      </c>
      <c r="D62" s="9" t="str">
        <f>PROPER(E62)</f>
        <v>Japan</v>
      </c>
      <c r="E62" s="9" t="s">
        <v>93</v>
      </c>
      <c r="F62" s="9" t="s">
        <v>48</v>
      </c>
      <c r="G62" s="9" t="s">
        <v>49</v>
      </c>
      <c r="H62" s="9">
        <v>46</v>
      </c>
      <c r="I62" s="5">
        <v>70.599999999999994</v>
      </c>
      <c r="J62" s="5">
        <v>3247.6</v>
      </c>
      <c r="K62" s="5">
        <v>166.91</v>
      </c>
      <c r="L62" s="5">
        <v>1240.69</v>
      </c>
      <c r="M62" s="9" t="s">
        <v>42</v>
      </c>
      <c r="N62" s="9" t="s">
        <v>29</v>
      </c>
      <c r="O62" s="9" t="s">
        <v>66</v>
      </c>
    </row>
    <row r="63" spans="1:15" x14ac:dyDescent="0.3">
      <c r="A63" s="9" t="s">
        <v>219</v>
      </c>
      <c r="B63" s="10">
        <v>47534</v>
      </c>
      <c r="C63" s="9" t="s">
        <v>114</v>
      </c>
      <c r="D63" s="9" t="str">
        <f>PROPER(E63)</f>
        <v>Japan</v>
      </c>
      <c r="E63" s="9" t="s">
        <v>93</v>
      </c>
      <c r="F63" s="9" t="s">
        <v>48</v>
      </c>
      <c r="G63" s="9" t="s">
        <v>49</v>
      </c>
      <c r="H63" s="9">
        <v>15</v>
      </c>
      <c r="I63" s="5">
        <v>53.36</v>
      </c>
      <c r="J63" s="5">
        <v>800.4</v>
      </c>
      <c r="K63" s="5">
        <v>56.29</v>
      </c>
      <c r="L63" s="5">
        <v>144.11000000000001</v>
      </c>
      <c r="M63" s="9" t="s">
        <v>20</v>
      </c>
      <c r="N63" s="9" t="s">
        <v>21</v>
      </c>
      <c r="O63" s="9" t="s">
        <v>66</v>
      </c>
    </row>
    <row r="64" spans="1:15" x14ac:dyDescent="0.3">
      <c r="A64" s="9" t="s">
        <v>221</v>
      </c>
      <c r="B64" s="10">
        <v>47562</v>
      </c>
      <c r="C64" s="9" t="s">
        <v>223</v>
      </c>
      <c r="D64" s="9" t="str">
        <f>PROPER(E64)</f>
        <v>Australia</v>
      </c>
      <c r="E64" s="9" t="s">
        <v>172</v>
      </c>
      <c r="F64" s="9" t="s">
        <v>40</v>
      </c>
      <c r="G64" s="9" t="s">
        <v>41</v>
      </c>
      <c r="H64" s="9">
        <v>42</v>
      </c>
      <c r="I64" s="5">
        <v>39.840000000000003</v>
      </c>
      <c r="J64" s="5">
        <v>1673.28</v>
      </c>
      <c r="K64" s="5">
        <v>132.74</v>
      </c>
      <c r="L64" s="5">
        <v>196.54</v>
      </c>
      <c r="M64" s="9" t="s">
        <v>20</v>
      </c>
      <c r="N64" s="9" t="s">
        <v>35</v>
      </c>
      <c r="O64" s="9" t="s">
        <v>173</v>
      </c>
    </row>
    <row r="65" spans="1:15" x14ac:dyDescent="0.3">
      <c r="A65" s="9" t="s">
        <v>224</v>
      </c>
      <c r="B65" s="10">
        <v>47593</v>
      </c>
      <c r="C65" s="9" t="s">
        <v>198</v>
      </c>
      <c r="D65" s="9" t="str">
        <f>PROPER(E65)</f>
        <v>Japan</v>
      </c>
      <c r="E65" s="9" t="s">
        <v>93</v>
      </c>
      <c r="F65" s="9" t="s">
        <v>64</v>
      </c>
      <c r="G65" s="9" t="s">
        <v>65</v>
      </c>
      <c r="H65" s="9">
        <v>31</v>
      </c>
      <c r="I65" s="5">
        <v>38.26</v>
      </c>
      <c r="J65" s="5">
        <v>1186.06</v>
      </c>
      <c r="K65" s="5">
        <v>69.33</v>
      </c>
      <c r="L65" s="5">
        <v>341.73</v>
      </c>
      <c r="M65" s="9" t="s">
        <v>28</v>
      </c>
      <c r="N65" s="9" t="s">
        <v>21</v>
      </c>
      <c r="O65" s="9" t="s">
        <v>66</v>
      </c>
    </row>
    <row r="66" spans="1:15" x14ac:dyDescent="0.3">
      <c r="A66" s="9" t="s">
        <v>226</v>
      </c>
      <c r="B66" s="10">
        <v>47623</v>
      </c>
      <c r="C66" s="9" t="s">
        <v>201</v>
      </c>
      <c r="D66" s="9" t="str">
        <f>PROPER(E66)</f>
        <v>France</v>
      </c>
      <c r="E66" s="9" t="s">
        <v>137</v>
      </c>
      <c r="F66" s="9" t="s">
        <v>69</v>
      </c>
      <c r="G66" s="9" t="s">
        <v>59</v>
      </c>
      <c r="H66" s="9">
        <v>2</v>
      </c>
      <c r="I66" s="5">
        <v>23.09</v>
      </c>
      <c r="J66" s="5">
        <v>46.18</v>
      </c>
      <c r="K66" s="5">
        <v>2.52</v>
      </c>
      <c r="L66" s="5">
        <v>12.66</v>
      </c>
      <c r="M66" s="9" t="s">
        <v>28</v>
      </c>
      <c r="N66" s="9" t="s">
        <v>29</v>
      </c>
      <c r="O66" s="9" t="s">
        <v>30</v>
      </c>
    </row>
    <row r="67" spans="1:15" x14ac:dyDescent="0.3">
      <c r="A67" s="9" t="s">
        <v>228</v>
      </c>
      <c r="B67" s="10">
        <v>47654</v>
      </c>
      <c r="C67" s="9" t="s">
        <v>57</v>
      </c>
      <c r="D67" s="9" t="str">
        <f>PROPER(E67)</f>
        <v>Uae</v>
      </c>
      <c r="E67" s="9" t="s">
        <v>89</v>
      </c>
      <c r="F67" s="9" t="s">
        <v>40</v>
      </c>
      <c r="G67" s="9" t="s">
        <v>41</v>
      </c>
      <c r="H67" s="9">
        <v>40</v>
      </c>
      <c r="I67" s="5">
        <v>46.81</v>
      </c>
      <c r="J67" s="5">
        <v>1872.4</v>
      </c>
      <c r="K67" s="5">
        <v>43.01</v>
      </c>
      <c r="L67" s="5">
        <v>549.39</v>
      </c>
      <c r="M67" s="9" t="s">
        <v>20</v>
      </c>
      <c r="N67" s="9" t="s">
        <v>35</v>
      </c>
      <c r="O67" s="9" t="s">
        <v>66</v>
      </c>
    </row>
    <row r="68" spans="1:15" x14ac:dyDescent="0.3">
      <c r="A68" s="9" t="s">
        <v>230</v>
      </c>
      <c r="B68" s="10">
        <v>47684</v>
      </c>
      <c r="C68" s="9" t="s">
        <v>232</v>
      </c>
      <c r="D68" s="9" t="str">
        <f>PROPER(E68)</f>
        <v>China</v>
      </c>
      <c r="E68" s="9" t="s">
        <v>63</v>
      </c>
      <c r="F68" s="9" t="s">
        <v>40</v>
      </c>
      <c r="G68" s="9" t="s">
        <v>41</v>
      </c>
      <c r="H68" s="9">
        <v>43</v>
      </c>
      <c r="I68" s="5">
        <v>57.01</v>
      </c>
      <c r="J68" s="5">
        <v>2451.4299999999998</v>
      </c>
      <c r="K68" s="5">
        <v>115.04</v>
      </c>
      <c r="L68" s="5">
        <v>960.39</v>
      </c>
      <c r="M68" s="9" t="s">
        <v>28</v>
      </c>
      <c r="N68" s="9" t="s">
        <v>21</v>
      </c>
      <c r="O68" s="9" t="s">
        <v>66</v>
      </c>
    </row>
    <row r="69" spans="1:15" x14ac:dyDescent="0.3">
      <c r="A69" s="9" t="s">
        <v>233</v>
      </c>
      <c r="B69" s="10">
        <v>47715</v>
      </c>
      <c r="C69" s="9" t="s">
        <v>235</v>
      </c>
      <c r="D69" s="9" t="str">
        <f>PROPER(E69)</f>
        <v>Mexico</v>
      </c>
      <c r="E69" s="9" t="s">
        <v>53</v>
      </c>
      <c r="F69" s="9" t="s">
        <v>73</v>
      </c>
      <c r="G69" s="9" t="s">
        <v>41</v>
      </c>
      <c r="H69" s="9">
        <v>15</v>
      </c>
      <c r="I69" s="5">
        <v>22.23</v>
      </c>
      <c r="J69" s="5">
        <v>333.45</v>
      </c>
      <c r="K69" s="5">
        <v>16.89</v>
      </c>
      <c r="L69" s="5">
        <v>125.31</v>
      </c>
      <c r="M69" s="9" t="s">
        <v>42</v>
      </c>
      <c r="N69" s="9" t="s">
        <v>29</v>
      </c>
      <c r="O69" s="9" t="s">
        <v>22</v>
      </c>
    </row>
    <row r="70" spans="1:15" x14ac:dyDescent="0.3">
      <c r="A70" s="9" t="s">
        <v>236</v>
      </c>
      <c r="B70" s="10">
        <v>47746</v>
      </c>
      <c r="C70" s="9" t="s">
        <v>238</v>
      </c>
      <c r="D70" s="9" t="str">
        <f>PROPER(E70)</f>
        <v>France</v>
      </c>
      <c r="E70" s="9" t="s">
        <v>137</v>
      </c>
      <c r="F70" s="9" t="s">
        <v>69</v>
      </c>
      <c r="G70" s="9" t="s">
        <v>59</v>
      </c>
      <c r="H70" s="9">
        <v>15</v>
      </c>
      <c r="I70" s="5">
        <v>19.23</v>
      </c>
      <c r="J70" s="5">
        <v>288.45</v>
      </c>
      <c r="K70" s="5">
        <v>20.22</v>
      </c>
      <c r="L70" s="5">
        <v>35.729999999999997</v>
      </c>
      <c r="M70" s="9" t="s">
        <v>20</v>
      </c>
      <c r="N70" s="9" t="s">
        <v>21</v>
      </c>
      <c r="O70" s="9" t="s">
        <v>30</v>
      </c>
    </row>
    <row r="71" spans="1:15" x14ac:dyDescent="0.3">
      <c r="A71" s="9" t="s">
        <v>239</v>
      </c>
      <c r="B71" s="10">
        <v>47776</v>
      </c>
      <c r="C71" s="9" t="s">
        <v>117</v>
      </c>
      <c r="D71" s="9" t="str">
        <f>PROPER(E71)</f>
        <v>Italy</v>
      </c>
      <c r="E71" s="9" t="s">
        <v>34</v>
      </c>
      <c r="F71" s="9" t="s">
        <v>103</v>
      </c>
      <c r="G71" s="9" t="s">
        <v>59</v>
      </c>
      <c r="H71" s="9">
        <v>34</v>
      </c>
      <c r="I71" s="5">
        <v>45.54</v>
      </c>
      <c r="J71" s="5">
        <v>1548.36</v>
      </c>
      <c r="K71" s="5">
        <v>36.76</v>
      </c>
      <c r="L71" s="5">
        <v>559.6</v>
      </c>
      <c r="M71" s="9" t="s">
        <v>20</v>
      </c>
      <c r="N71" s="9" t="s">
        <v>21</v>
      </c>
      <c r="O71" s="9" t="s">
        <v>30</v>
      </c>
    </row>
    <row r="72" spans="1:15" x14ac:dyDescent="0.3">
      <c r="A72" s="9" t="s">
        <v>241</v>
      </c>
      <c r="B72" s="10">
        <v>47807</v>
      </c>
      <c r="C72" s="9" t="s">
        <v>243</v>
      </c>
      <c r="D72" s="9" t="str">
        <f>PROPER(E72)</f>
        <v>France</v>
      </c>
      <c r="E72" s="9" t="s">
        <v>137</v>
      </c>
      <c r="F72" s="9" t="s">
        <v>48</v>
      </c>
      <c r="G72" s="9" t="s">
        <v>49</v>
      </c>
      <c r="H72" s="9">
        <v>33</v>
      </c>
      <c r="I72" s="5">
        <v>63.88</v>
      </c>
      <c r="J72" s="5">
        <v>2108.04</v>
      </c>
      <c r="K72" s="5">
        <v>111.7</v>
      </c>
      <c r="L72" s="5">
        <v>676.34</v>
      </c>
      <c r="M72" s="9" t="s">
        <v>20</v>
      </c>
      <c r="N72" s="9" t="s">
        <v>35</v>
      </c>
      <c r="O72" s="9" t="s">
        <v>30</v>
      </c>
    </row>
    <row r="73" spans="1:15" x14ac:dyDescent="0.3">
      <c r="A73" s="9" t="s">
        <v>244</v>
      </c>
      <c r="B73" s="10">
        <v>47837</v>
      </c>
      <c r="C73" s="9" t="s">
        <v>114</v>
      </c>
      <c r="D73" s="9" t="str">
        <f>PROPER(E73)</f>
        <v>Germany</v>
      </c>
      <c r="E73" s="9" t="s">
        <v>207</v>
      </c>
      <c r="F73" s="9" t="s">
        <v>27</v>
      </c>
      <c r="G73" s="9" t="s">
        <v>19</v>
      </c>
      <c r="H73" s="9">
        <v>39</v>
      </c>
      <c r="I73" s="5">
        <v>25.38</v>
      </c>
      <c r="J73" s="5">
        <v>989.82</v>
      </c>
      <c r="K73" s="5">
        <v>50.82</v>
      </c>
      <c r="L73" s="5">
        <v>237</v>
      </c>
      <c r="M73" s="9" t="s">
        <v>28</v>
      </c>
      <c r="N73" s="9" t="s">
        <v>29</v>
      </c>
      <c r="O73" s="9" t="s">
        <v>30</v>
      </c>
    </row>
    <row r="74" spans="1:15" x14ac:dyDescent="0.3">
      <c r="A74" s="9" t="s">
        <v>246</v>
      </c>
      <c r="B74" s="10">
        <v>47868</v>
      </c>
      <c r="C74" s="9" t="s">
        <v>248</v>
      </c>
      <c r="D74" s="9" t="str">
        <f>PROPER(E74)</f>
        <v>India</v>
      </c>
      <c r="E74" s="9" t="s">
        <v>249</v>
      </c>
      <c r="F74" s="9" t="s">
        <v>64</v>
      </c>
      <c r="G74" s="9" t="s">
        <v>65</v>
      </c>
      <c r="H74" s="9">
        <v>9</v>
      </c>
      <c r="I74" s="5">
        <v>38.979999999999997</v>
      </c>
      <c r="J74" s="5">
        <v>350.82</v>
      </c>
      <c r="K74" s="5">
        <v>25.56</v>
      </c>
      <c r="L74" s="5">
        <v>100.26</v>
      </c>
      <c r="M74" s="9" t="s">
        <v>20</v>
      </c>
      <c r="N74" s="9" t="s">
        <v>21</v>
      </c>
      <c r="O74" s="9" t="s">
        <v>66</v>
      </c>
    </row>
    <row r="75" spans="1:15" x14ac:dyDescent="0.3">
      <c r="A75" s="9" t="s">
        <v>250</v>
      </c>
      <c r="B75" s="10">
        <v>47899</v>
      </c>
      <c r="C75" s="9" t="s">
        <v>252</v>
      </c>
      <c r="D75" s="9" t="str">
        <f>PROPER(E75)</f>
        <v>South Africa</v>
      </c>
      <c r="E75" s="9" t="s">
        <v>107</v>
      </c>
      <c r="F75" s="9" t="s">
        <v>54</v>
      </c>
      <c r="G75" s="9" t="s">
        <v>41</v>
      </c>
      <c r="H75" s="9">
        <v>14</v>
      </c>
      <c r="I75" s="5">
        <v>35.86</v>
      </c>
      <c r="J75" s="5">
        <v>502.04</v>
      </c>
      <c r="K75" s="5">
        <v>40.130000000000003</v>
      </c>
      <c r="L75" s="5">
        <v>181.91</v>
      </c>
      <c r="M75" s="9" t="s">
        <v>42</v>
      </c>
      <c r="N75" s="9" t="s">
        <v>35</v>
      </c>
      <c r="O75" s="9" t="s">
        <v>108</v>
      </c>
    </row>
    <row r="76" spans="1:15" x14ac:dyDescent="0.3">
      <c r="A76" s="9" t="s">
        <v>253</v>
      </c>
      <c r="B76" s="10">
        <v>47927</v>
      </c>
      <c r="C76" s="9" t="s">
        <v>255</v>
      </c>
      <c r="D76" s="9" t="str">
        <f>PROPER(E76)</f>
        <v>Japan</v>
      </c>
      <c r="E76" s="9" t="s">
        <v>93</v>
      </c>
      <c r="F76" s="9" t="s">
        <v>69</v>
      </c>
      <c r="G76" s="9" t="s">
        <v>59</v>
      </c>
      <c r="H76" s="9">
        <v>49</v>
      </c>
      <c r="I76" s="5">
        <v>21.37</v>
      </c>
      <c r="J76" s="5">
        <v>1047.1300000000001</v>
      </c>
      <c r="K76" s="5">
        <v>65.98</v>
      </c>
      <c r="L76" s="5">
        <v>221.65</v>
      </c>
      <c r="M76" s="9" t="s">
        <v>42</v>
      </c>
      <c r="N76" s="9" t="s">
        <v>35</v>
      </c>
      <c r="O76" s="9" t="s">
        <v>66</v>
      </c>
    </row>
    <row r="77" spans="1:15" x14ac:dyDescent="0.3">
      <c r="A77" s="9" t="s">
        <v>256</v>
      </c>
      <c r="B77" s="10">
        <v>47958</v>
      </c>
      <c r="C77" s="9" t="s">
        <v>257</v>
      </c>
      <c r="D77" s="9" t="str">
        <f>PROPER(E77)</f>
        <v>Mexico</v>
      </c>
      <c r="E77" s="9" t="s">
        <v>53</v>
      </c>
      <c r="F77" s="9" t="s">
        <v>27</v>
      </c>
      <c r="G77" s="9" t="s">
        <v>19</v>
      </c>
      <c r="H77" s="9">
        <v>42</v>
      </c>
      <c r="I77" s="5">
        <v>24.57</v>
      </c>
      <c r="J77" s="5">
        <v>1031.94</v>
      </c>
      <c r="K77" s="5">
        <v>56.45</v>
      </c>
      <c r="L77" s="5">
        <v>219.49</v>
      </c>
      <c r="M77" s="9" t="s">
        <v>28</v>
      </c>
      <c r="N77" s="9" t="s">
        <v>21</v>
      </c>
      <c r="O77" s="9" t="s">
        <v>22</v>
      </c>
    </row>
    <row r="78" spans="1:15" x14ac:dyDescent="0.3">
      <c r="A78" s="9" t="s">
        <v>258</v>
      </c>
      <c r="B78" s="10">
        <v>47988</v>
      </c>
      <c r="C78" s="9" t="s">
        <v>257</v>
      </c>
      <c r="D78" s="9" t="str">
        <f>PROPER(E78)</f>
        <v>Singapore</v>
      </c>
      <c r="E78" s="9" t="s">
        <v>82</v>
      </c>
      <c r="F78" s="9" t="s">
        <v>27</v>
      </c>
      <c r="G78" s="9" t="s">
        <v>19</v>
      </c>
      <c r="H78" s="9">
        <v>42</v>
      </c>
      <c r="I78" s="5">
        <v>26.39</v>
      </c>
      <c r="J78" s="5">
        <v>1108.3800000000001</v>
      </c>
      <c r="K78" s="5">
        <v>44.56</v>
      </c>
      <c r="L78" s="5">
        <v>307.82</v>
      </c>
      <c r="M78" s="9" t="s">
        <v>28</v>
      </c>
      <c r="N78" s="9" t="s">
        <v>21</v>
      </c>
      <c r="O78" s="9" t="s">
        <v>66</v>
      </c>
    </row>
    <row r="79" spans="1:15" x14ac:dyDescent="0.3">
      <c r="A79" s="9" t="s">
        <v>260</v>
      </c>
      <c r="B79" s="10">
        <v>48019</v>
      </c>
      <c r="C79" s="9" t="s">
        <v>255</v>
      </c>
      <c r="D79" s="9" t="str">
        <f>PROPER(E79)</f>
        <v>Canada</v>
      </c>
      <c r="E79" s="9" t="s">
        <v>47</v>
      </c>
      <c r="F79" s="9" t="s">
        <v>54</v>
      </c>
      <c r="G79" s="9" t="s">
        <v>41</v>
      </c>
      <c r="H79" s="9">
        <v>50</v>
      </c>
      <c r="I79" s="5">
        <v>29.73</v>
      </c>
      <c r="J79" s="5">
        <v>1486.5</v>
      </c>
      <c r="K79" s="5">
        <v>96.77</v>
      </c>
      <c r="L79" s="5">
        <v>389.73</v>
      </c>
      <c r="M79" s="9" t="s">
        <v>42</v>
      </c>
      <c r="N79" s="9" t="s">
        <v>21</v>
      </c>
      <c r="O79" s="9" t="s">
        <v>22</v>
      </c>
    </row>
    <row r="80" spans="1:15" x14ac:dyDescent="0.3">
      <c r="A80" s="9" t="s">
        <v>262</v>
      </c>
      <c r="B80" s="10">
        <v>48049</v>
      </c>
      <c r="C80" s="9" t="s">
        <v>252</v>
      </c>
      <c r="D80" s="9" t="str">
        <f>PROPER(E80)</f>
        <v>China</v>
      </c>
      <c r="E80" s="9" t="s">
        <v>63</v>
      </c>
      <c r="F80" s="9" t="s">
        <v>69</v>
      </c>
      <c r="G80" s="9" t="s">
        <v>59</v>
      </c>
      <c r="H80" s="9">
        <v>39</v>
      </c>
      <c r="I80" s="5">
        <v>20.56</v>
      </c>
      <c r="J80" s="5">
        <v>801.84</v>
      </c>
      <c r="K80" s="5">
        <v>43.55</v>
      </c>
      <c r="L80" s="5">
        <v>153.79</v>
      </c>
      <c r="M80" s="9" t="s">
        <v>20</v>
      </c>
      <c r="N80" s="9" t="s">
        <v>21</v>
      </c>
      <c r="O80" s="9" t="s">
        <v>66</v>
      </c>
    </row>
    <row r="81" spans="1:15" x14ac:dyDescent="0.3">
      <c r="A81" s="9" t="s">
        <v>264</v>
      </c>
      <c r="B81" s="10">
        <v>48080</v>
      </c>
      <c r="C81" s="9" t="s">
        <v>25</v>
      </c>
      <c r="D81" s="9" t="str">
        <f>PROPER(E81)</f>
        <v>China</v>
      </c>
      <c r="E81" s="9" t="s">
        <v>63</v>
      </c>
      <c r="F81" s="9" t="s">
        <v>69</v>
      </c>
      <c r="G81" s="9" t="s">
        <v>59</v>
      </c>
      <c r="H81" s="9">
        <v>48</v>
      </c>
      <c r="I81" s="5">
        <v>24.36</v>
      </c>
      <c r="J81" s="5">
        <v>1169.28</v>
      </c>
      <c r="K81" s="5">
        <v>81.599999999999994</v>
      </c>
      <c r="L81" s="5">
        <v>343.68</v>
      </c>
      <c r="M81" s="9" t="s">
        <v>42</v>
      </c>
      <c r="N81" s="9" t="s">
        <v>35</v>
      </c>
      <c r="O81" s="9" t="s">
        <v>66</v>
      </c>
    </row>
    <row r="82" spans="1:15" x14ac:dyDescent="0.3">
      <c r="A82" s="9" t="s">
        <v>266</v>
      </c>
      <c r="B82" s="10">
        <v>48111</v>
      </c>
      <c r="C82" s="9" t="s">
        <v>268</v>
      </c>
      <c r="D82" s="9" t="str">
        <f>PROPER(E82)</f>
        <v>Germany</v>
      </c>
      <c r="E82" s="9" t="s">
        <v>207</v>
      </c>
      <c r="F82" s="9" t="s">
        <v>58</v>
      </c>
      <c r="G82" s="9" t="s">
        <v>59</v>
      </c>
      <c r="H82" s="9">
        <v>40</v>
      </c>
      <c r="I82" s="5">
        <v>27.95</v>
      </c>
      <c r="J82" s="5">
        <v>1118</v>
      </c>
      <c r="K82" s="5">
        <v>37.590000000000003</v>
      </c>
      <c r="L82" s="5">
        <v>180.41</v>
      </c>
      <c r="M82" s="9" t="s">
        <v>42</v>
      </c>
      <c r="N82" s="9" t="s">
        <v>35</v>
      </c>
      <c r="O82" s="9" t="s">
        <v>30</v>
      </c>
    </row>
    <row r="83" spans="1:15" x14ac:dyDescent="0.3">
      <c r="A83" s="9" t="s">
        <v>269</v>
      </c>
      <c r="B83" s="10">
        <v>48141</v>
      </c>
      <c r="C83" s="9" t="s">
        <v>157</v>
      </c>
      <c r="D83" s="9" t="str">
        <f>PROPER(E83)</f>
        <v>India</v>
      </c>
      <c r="E83" s="9" t="s">
        <v>249</v>
      </c>
      <c r="F83" s="9" t="s">
        <v>103</v>
      </c>
      <c r="G83" s="9" t="s">
        <v>59</v>
      </c>
      <c r="H83" s="9">
        <v>21</v>
      </c>
      <c r="I83" s="5">
        <v>40.19</v>
      </c>
      <c r="J83" s="5">
        <v>843.99</v>
      </c>
      <c r="K83" s="5">
        <v>32.4</v>
      </c>
      <c r="L83" s="5">
        <v>223.59</v>
      </c>
      <c r="M83" s="9" t="s">
        <v>28</v>
      </c>
      <c r="N83" s="9" t="s">
        <v>29</v>
      </c>
      <c r="O83" s="9" t="s">
        <v>66</v>
      </c>
    </row>
    <row r="84" spans="1:15" x14ac:dyDescent="0.3">
      <c r="A84" s="9" t="s">
        <v>271</v>
      </c>
      <c r="B84" s="10">
        <v>48172</v>
      </c>
      <c r="C84" s="9" t="s">
        <v>111</v>
      </c>
      <c r="D84" s="9" t="str">
        <f>PROPER(E84)</f>
        <v>Singapore</v>
      </c>
      <c r="E84" s="9" t="s">
        <v>82</v>
      </c>
      <c r="F84" s="9" t="s">
        <v>73</v>
      </c>
      <c r="G84" s="9" t="s">
        <v>41</v>
      </c>
      <c r="H84" s="9">
        <v>26</v>
      </c>
      <c r="I84" s="5">
        <v>16.670000000000002</v>
      </c>
      <c r="J84" s="5">
        <v>433.42</v>
      </c>
      <c r="K84" s="5">
        <v>32.79</v>
      </c>
      <c r="L84" s="5">
        <v>69.13</v>
      </c>
      <c r="M84" s="9" t="s">
        <v>42</v>
      </c>
      <c r="N84" s="9" t="s">
        <v>29</v>
      </c>
      <c r="O84" s="9" t="s">
        <v>66</v>
      </c>
    </row>
    <row r="85" spans="1:15" x14ac:dyDescent="0.3">
      <c r="A85" s="9" t="s">
        <v>272</v>
      </c>
      <c r="B85" s="10">
        <v>48202</v>
      </c>
      <c r="C85" s="9" t="s">
        <v>274</v>
      </c>
      <c r="D85" s="9" t="str">
        <f>PROPER(E85)</f>
        <v>Brazil</v>
      </c>
      <c r="E85" s="9" t="s">
        <v>39</v>
      </c>
      <c r="F85" s="9" t="s">
        <v>40</v>
      </c>
      <c r="G85" s="9" t="s">
        <v>41</v>
      </c>
      <c r="H85" s="9">
        <v>28</v>
      </c>
      <c r="I85" s="5">
        <v>39.85</v>
      </c>
      <c r="J85" s="5">
        <v>1115.8</v>
      </c>
      <c r="K85" s="5">
        <v>43.87</v>
      </c>
      <c r="L85" s="5">
        <v>175.93</v>
      </c>
      <c r="M85" s="9" t="s">
        <v>42</v>
      </c>
      <c r="N85" s="9" t="s">
        <v>21</v>
      </c>
      <c r="O85" s="9" t="s">
        <v>43</v>
      </c>
    </row>
    <row r="86" spans="1:15" x14ac:dyDescent="0.3">
      <c r="A86" s="9" t="s">
        <v>275</v>
      </c>
      <c r="B86" s="10">
        <v>48233</v>
      </c>
      <c r="C86" s="9" t="s">
        <v>274</v>
      </c>
      <c r="D86" s="9" t="str">
        <f>PROPER(E86)</f>
        <v>Mexico</v>
      </c>
      <c r="E86" s="9" t="s">
        <v>53</v>
      </c>
      <c r="F86" s="9" t="s">
        <v>73</v>
      </c>
      <c r="G86" s="9" t="s">
        <v>41</v>
      </c>
      <c r="H86" s="9">
        <v>47</v>
      </c>
      <c r="I86" s="5">
        <v>15.97</v>
      </c>
      <c r="J86" s="5">
        <v>750.59</v>
      </c>
      <c r="K86" s="5">
        <v>48.55</v>
      </c>
      <c r="L86" s="5">
        <v>102.79</v>
      </c>
      <c r="M86" s="9" t="s">
        <v>42</v>
      </c>
      <c r="N86" s="9" t="s">
        <v>35</v>
      </c>
      <c r="O86" s="9" t="s">
        <v>22</v>
      </c>
    </row>
    <row r="87" spans="1:15" x14ac:dyDescent="0.3">
      <c r="A87" s="9" t="s">
        <v>277</v>
      </c>
      <c r="B87" s="10">
        <v>48264</v>
      </c>
      <c r="C87" s="9" t="s">
        <v>182</v>
      </c>
      <c r="D87" s="9" t="str">
        <f>PROPER(E87)</f>
        <v>China</v>
      </c>
      <c r="E87" s="9" t="s">
        <v>63</v>
      </c>
      <c r="F87" s="9" t="s">
        <v>48</v>
      </c>
      <c r="G87" s="9" t="s">
        <v>49</v>
      </c>
      <c r="H87" s="9">
        <v>28</v>
      </c>
      <c r="I87" s="5">
        <v>53.6</v>
      </c>
      <c r="J87" s="5">
        <v>1500.8</v>
      </c>
      <c r="K87" s="5">
        <v>68.55</v>
      </c>
      <c r="L87" s="5">
        <v>312.25</v>
      </c>
      <c r="M87" s="9" t="s">
        <v>28</v>
      </c>
      <c r="N87" s="9" t="s">
        <v>29</v>
      </c>
      <c r="O87" s="9" t="s">
        <v>66</v>
      </c>
    </row>
    <row r="88" spans="1:15" x14ac:dyDescent="0.3">
      <c r="A88" s="9" t="s">
        <v>279</v>
      </c>
      <c r="B88" s="10">
        <v>48293</v>
      </c>
      <c r="C88" s="9" t="s">
        <v>140</v>
      </c>
      <c r="D88" s="9" t="str">
        <f>PROPER(E88)</f>
        <v>India</v>
      </c>
      <c r="E88" s="9" t="s">
        <v>249</v>
      </c>
      <c r="F88" s="9" t="s">
        <v>103</v>
      </c>
      <c r="G88" s="9" t="s">
        <v>59</v>
      </c>
      <c r="H88" s="9">
        <v>37</v>
      </c>
      <c r="I88" s="5">
        <v>40.049999999999997</v>
      </c>
      <c r="J88" s="5">
        <v>1481.85</v>
      </c>
      <c r="K88" s="5">
        <v>45.6</v>
      </c>
      <c r="L88" s="5">
        <v>400.25</v>
      </c>
      <c r="M88" s="9" t="s">
        <v>20</v>
      </c>
      <c r="N88" s="9" t="s">
        <v>35</v>
      </c>
      <c r="O88" s="9" t="s">
        <v>66</v>
      </c>
    </row>
    <row r="89" spans="1:15" x14ac:dyDescent="0.3">
      <c r="A89" s="9" t="s">
        <v>280</v>
      </c>
      <c r="B89" s="10">
        <v>48324</v>
      </c>
      <c r="C89" s="9" t="s">
        <v>188</v>
      </c>
      <c r="D89" s="9" t="str">
        <f>PROPER(E89)</f>
        <v>Italy</v>
      </c>
      <c r="E89" s="9" t="s">
        <v>34</v>
      </c>
      <c r="F89" s="9" t="s">
        <v>18</v>
      </c>
      <c r="G89" s="9" t="s">
        <v>19</v>
      </c>
      <c r="H89" s="9">
        <v>45</v>
      </c>
      <c r="I89" s="5">
        <v>43.74</v>
      </c>
      <c r="J89" s="5">
        <v>1968.3</v>
      </c>
      <c r="K89" s="5">
        <v>80.55</v>
      </c>
      <c r="L89" s="5">
        <v>312.75</v>
      </c>
      <c r="M89" s="9" t="s">
        <v>28</v>
      </c>
      <c r="N89" s="9" t="s">
        <v>35</v>
      </c>
      <c r="O89" s="9" t="s">
        <v>30</v>
      </c>
    </row>
    <row r="90" spans="1:15" x14ac:dyDescent="0.3">
      <c r="A90" s="9" t="s">
        <v>282</v>
      </c>
      <c r="B90" s="10">
        <v>48354</v>
      </c>
      <c r="C90" s="9" t="s">
        <v>284</v>
      </c>
      <c r="D90" s="9" t="str">
        <f>PROPER(E90)</f>
        <v>Uk</v>
      </c>
      <c r="E90" s="9" t="s">
        <v>26</v>
      </c>
      <c r="F90" s="9" t="s">
        <v>69</v>
      </c>
      <c r="G90" s="9" t="s">
        <v>59</v>
      </c>
      <c r="H90" s="9">
        <v>9</v>
      </c>
      <c r="I90" s="5">
        <v>24.63</v>
      </c>
      <c r="J90" s="5">
        <v>221.67</v>
      </c>
      <c r="K90" s="5">
        <v>13.53</v>
      </c>
      <c r="L90" s="5">
        <v>68.64</v>
      </c>
      <c r="M90" s="9" t="s">
        <v>28</v>
      </c>
      <c r="N90" s="9" t="s">
        <v>35</v>
      </c>
      <c r="O90" s="9" t="s">
        <v>30</v>
      </c>
    </row>
    <row r="91" spans="1:15" x14ac:dyDescent="0.3">
      <c r="A91" s="9" t="s">
        <v>285</v>
      </c>
      <c r="B91" s="10">
        <v>48385</v>
      </c>
      <c r="C91" s="9" t="s">
        <v>46</v>
      </c>
      <c r="D91" s="9" t="str">
        <f>PROPER(E91)</f>
        <v>South Africa</v>
      </c>
      <c r="E91" s="9" t="s">
        <v>107</v>
      </c>
      <c r="F91" s="9" t="s">
        <v>69</v>
      </c>
      <c r="G91" s="9" t="s">
        <v>59</v>
      </c>
      <c r="H91" s="9">
        <v>6</v>
      </c>
      <c r="I91" s="5">
        <v>21.79</v>
      </c>
      <c r="J91" s="5">
        <v>130.74</v>
      </c>
      <c r="K91" s="5">
        <v>7.75</v>
      </c>
      <c r="L91" s="5">
        <v>29.99</v>
      </c>
      <c r="M91" s="9" t="s">
        <v>28</v>
      </c>
      <c r="N91" s="9" t="s">
        <v>35</v>
      </c>
      <c r="O91" s="9" t="s">
        <v>108</v>
      </c>
    </row>
    <row r="92" spans="1:15" x14ac:dyDescent="0.3">
      <c r="A92" s="9" t="s">
        <v>287</v>
      </c>
      <c r="B92" s="10">
        <v>48415</v>
      </c>
      <c r="C92" s="9" t="s">
        <v>288</v>
      </c>
      <c r="D92" s="9" t="str">
        <f>PROPER(E92)</f>
        <v>France</v>
      </c>
      <c r="E92" s="9" t="s">
        <v>137</v>
      </c>
      <c r="F92" s="9" t="s">
        <v>18</v>
      </c>
      <c r="G92" s="9" t="s">
        <v>19</v>
      </c>
      <c r="H92" s="9">
        <v>23</v>
      </c>
      <c r="I92" s="5">
        <v>58.43</v>
      </c>
      <c r="J92" s="5">
        <v>1343.89</v>
      </c>
      <c r="K92" s="5">
        <v>38.729999999999997</v>
      </c>
      <c r="L92" s="5">
        <v>500.16</v>
      </c>
      <c r="M92" s="9" t="s">
        <v>28</v>
      </c>
      <c r="N92" s="9" t="s">
        <v>21</v>
      </c>
      <c r="O92" s="9" t="s">
        <v>30</v>
      </c>
    </row>
    <row r="93" spans="1:15" x14ac:dyDescent="0.3">
      <c r="A93" s="9" t="s">
        <v>289</v>
      </c>
      <c r="B93" s="10">
        <v>48446</v>
      </c>
      <c r="C93" s="9" t="s">
        <v>290</v>
      </c>
      <c r="D93" s="9" t="str">
        <f>PROPER(E93)</f>
        <v>Singapore</v>
      </c>
      <c r="E93" s="9" t="s">
        <v>82</v>
      </c>
      <c r="F93" s="9" t="s">
        <v>48</v>
      </c>
      <c r="G93" s="9" t="s">
        <v>49</v>
      </c>
      <c r="H93" s="9">
        <v>19</v>
      </c>
      <c r="I93" s="5">
        <v>67.06</v>
      </c>
      <c r="J93" s="5">
        <v>1274.1400000000001</v>
      </c>
      <c r="K93" s="5">
        <v>85.73</v>
      </c>
      <c r="L93" s="5">
        <v>428.41</v>
      </c>
      <c r="M93" s="9" t="s">
        <v>20</v>
      </c>
      <c r="N93" s="9" t="s">
        <v>29</v>
      </c>
      <c r="O93" s="9" t="s">
        <v>66</v>
      </c>
    </row>
    <row r="94" spans="1:15" x14ac:dyDescent="0.3">
      <c r="A94" s="9" t="s">
        <v>291</v>
      </c>
      <c r="B94" s="10">
        <v>48477</v>
      </c>
      <c r="C94" s="9" t="s">
        <v>284</v>
      </c>
      <c r="D94" s="9" t="str">
        <f>PROPER(E94)</f>
        <v>Italy</v>
      </c>
      <c r="E94" s="9" t="s">
        <v>34</v>
      </c>
      <c r="F94" s="9" t="s">
        <v>27</v>
      </c>
      <c r="G94" s="9" t="s">
        <v>19</v>
      </c>
      <c r="H94" s="9">
        <v>4</v>
      </c>
      <c r="I94" s="5">
        <v>25.13</v>
      </c>
      <c r="J94" s="5">
        <v>100.52</v>
      </c>
      <c r="K94" s="5">
        <v>5.6</v>
      </c>
      <c r="L94" s="5">
        <v>22.92</v>
      </c>
      <c r="M94" s="9" t="s">
        <v>28</v>
      </c>
      <c r="N94" s="9" t="s">
        <v>35</v>
      </c>
      <c r="O94" s="9" t="s">
        <v>30</v>
      </c>
    </row>
    <row r="95" spans="1:15" x14ac:dyDescent="0.3">
      <c r="A95" s="9" t="s">
        <v>293</v>
      </c>
      <c r="B95" s="10">
        <v>48507</v>
      </c>
      <c r="C95" s="9" t="s">
        <v>295</v>
      </c>
      <c r="D95" s="9" t="str">
        <f>PROPER(E95)</f>
        <v>Italy</v>
      </c>
      <c r="E95" s="9" t="s">
        <v>34</v>
      </c>
      <c r="F95" s="9" t="s">
        <v>69</v>
      </c>
      <c r="G95" s="9" t="s">
        <v>59</v>
      </c>
      <c r="H95" s="9">
        <v>26</v>
      </c>
      <c r="I95" s="5">
        <v>19.34</v>
      </c>
      <c r="J95" s="5">
        <v>502.84</v>
      </c>
      <c r="K95" s="5">
        <v>26.51</v>
      </c>
      <c r="L95" s="5">
        <v>73.33</v>
      </c>
      <c r="M95" s="9" t="s">
        <v>28</v>
      </c>
      <c r="N95" s="9" t="s">
        <v>21</v>
      </c>
      <c r="O95" s="9" t="s">
        <v>30</v>
      </c>
    </row>
    <row r="96" spans="1:15" x14ac:dyDescent="0.3">
      <c r="A96" s="9" t="s">
        <v>296</v>
      </c>
      <c r="B96" s="10">
        <v>48538</v>
      </c>
      <c r="C96" s="9" t="s">
        <v>298</v>
      </c>
      <c r="D96" s="9" t="str">
        <f>PROPER(E96)</f>
        <v>South Africa</v>
      </c>
      <c r="E96" s="9" t="s">
        <v>107</v>
      </c>
      <c r="F96" s="9" t="s">
        <v>54</v>
      </c>
      <c r="G96" s="9" t="s">
        <v>41</v>
      </c>
      <c r="H96" s="9">
        <v>26</v>
      </c>
      <c r="I96" s="5">
        <v>35.81</v>
      </c>
      <c r="J96" s="5">
        <v>931.06</v>
      </c>
      <c r="K96" s="5">
        <v>61.06</v>
      </c>
      <c r="L96" s="5">
        <v>350</v>
      </c>
      <c r="M96" s="9" t="s">
        <v>20</v>
      </c>
      <c r="N96" s="9" t="s">
        <v>21</v>
      </c>
      <c r="O96" s="9" t="s">
        <v>108</v>
      </c>
    </row>
    <row r="97" spans="1:15" x14ac:dyDescent="0.3">
      <c r="A97" s="9" t="s">
        <v>299</v>
      </c>
      <c r="B97" s="10">
        <v>48568</v>
      </c>
      <c r="C97" s="9" t="s">
        <v>301</v>
      </c>
      <c r="D97" s="9" t="str">
        <f>PROPER(E97)</f>
        <v>Singapore</v>
      </c>
      <c r="E97" s="9" t="s">
        <v>82</v>
      </c>
      <c r="F97" s="9" t="s">
        <v>58</v>
      </c>
      <c r="G97" s="9" t="s">
        <v>59</v>
      </c>
      <c r="H97" s="9">
        <v>42</v>
      </c>
      <c r="I97" s="5">
        <v>39.950000000000003</v>
      </c>
      <c r="J97" s="5">
        <v>1677.9</v>
      </c>
      <c r="K97" s="5">
        <v>93.95</v>
      </c>
      <c r="L97" s="5">
        <v>638.95000000000005</v>
      </c>
      <c r="M97" s="9" t="s">
        <v>28</v>
      </c>
      <c r="N97" s="9" t="s">
        <v>29</v>
      </c>
      <c r="O97" s="9" t="s">
        <v>66</v>
      </c>
    </row>
    <row r="98" spans="1:15" x14ac:dyDescent="0.3">
      <c r="A98" s="9" t="s">
        <v>302</v>
      </c>
      <c r="B98" s="10">
        <v>48599</v>
      </c>
      <c r="C98" s="9" t="s">
        <v>111</v>
      </c>
      <c r="D98" s="9" t="str">
        <f>PROPER(E98)</f>
        <v>Uae</v>
      </c>
      <c r="E98" s="9" t="s">
        <v>89</v>
      </c>
      <c r="F98" s="9" t="s">
        <v>18</v>
      </c>
      <c r="G98" s="9" t="s">
        <v>19</v>
      </c>
      <c r="H98" s="9">
        <v>38</v>
      </c>
      <c r="I98" s="5">
        <v>49.98</v>
      </c>
      <c r="J98" s="5">
        <v>1899.24</v>
      </c>
      <c r="K98" s="5">
        <v>112.91</v>
      </c>
      <c r="L98" s="5">
        <v>456.33</v>
      </c>
      <c r="M98" s="9" t="s">
        <v>42</v>
      </c>
      <c r="N98" s="9" t="s">
        <v>35</v>
      </c>
      <c r="O98" s="9" t="s">
        <v>66</v>
      </c>
    </row>
    <row r="99" spans="1:15" x14ac:dyDescent="0.3">
      <c r="A99" s="9" t="s">
        <v>304</v>
      </c>
      <c r="B99" s="10">
        <v>48630</v>
      </c>
      <c r="C99" s="9" t="s">
        <v>157</v>
      </c>
      <c r="D99" s="9" t="str">
        <f>PROPER(E99)</f>
        <v>Japan</v>
      </c>
      <c r="E99" s="9" t="s">
        <v>93</v>
      </c>
      <c r="F99" s="9" t="s">
        <v>103</v>
      </c>
      <c r="G99" s="9" t="s">
        <v>59</v>
      </c>
      <c r="H99" s="9">
        <v>1</v>
      </c>
      <c r="I99" s="5">
        <v>45.84</v>
      </c>
      <c r="J99" s="5">
        <v>45.84</v>
      </c>
      <c r="K99" s="5">
        <v>1.26</v>
      </c>
      <c r="L99" s="5">
        <v>16.579999999999998</v>
      </c>
      <c r="M99" s="9" t="s">
        <v>42</v>
      </c>
      <c r="N99" s="9" t="s">
        <v>21</v>
      </c>
      <c r="O99" s="9" t="s">
        <v>66</v>
      </c>
    </row>
    <row r="100" spans="1:15" x14ac:dyDescent="0.3">
      <c r="A100" s="9" t="s">
        <v>306</v>
      </c>
      <c r="B100" s="10">
        <v>48658</v>
      </c>
      <c r="C100" s="9" t="s">
        <v>268</v>
      </c>
      <c r="D100" s="9" t="str">
        <f>PROPER(E100)</f>
        <v>Australia</v>
      </c>
      <c r="E100" s="9" t="s">
        <v>172</v>
      </c>
      <c r="F100" s="9" t="s">
        <v>27</v>
      </c>
      <c r="G100" s="9" t="s">
        <v>19</v>
      </c>
      <c r="H100" s="9">
        <v>38</v>
      </c>
      <c r="I100" s="5">
        <v>26.34</v>
      </c>
      <c r="J100" s="5">
        <v>1000.92</v>
      </c>
      <c r="K100" s="5">
        <v>47.88</v>
      </c>
      <c r="L100" s="5">
        <v>269.04000000000002</v>
      </c>
      <c r="M100" s="9" t="s">
        <v>20</v>
      </c>
      <c r="N100" s="9" t="s">
        <v>29</v>
      </c>
      <c r="O100" s="9" t="s">
        <v>173</v>
      </c>
    </row>
    <row r="101" spans="1:15" x14ac:dyDescent="0.3">
      <c r="A101" s="9" t="s">
        <v>308</v>
      </c>
      <c r="B101" s="10">
        <v>48689</v>
      </c>
      <c r="C101" s="9" t="s">
        <v>235</v>
      </c>
      <c r="D101" s="9" t="str">
        <f>PROPER(E101)</f>
        <v>France</v>
      </c>
      <c r="E101" s="9" t="s">
        <v>137</v>
      </c>
      <c r="F101" s="9" t="s">
        <v>64</v>
      </c>
      <c r="G101" s="9" t="s">
        <v>65</v>
      </c>
      <c r="H101" s="9">
        <v>30</v>
      </c>
      <c r="I101" s="5">
        <v>36.43</v>
      </c>
      <c r="J101" s="5">
        <v>1092.9000000000001</v>
      </c>
      <c r="K101" s="5">
        <v>61.97</v>
      </c>
      <c r="L101" s="5">
        <v>280.93</v>
      </c>
      <c r="M101" s="9" t="s">
        <v>42</v>
      </c>
      <c r="N101" s="9" t="s">
        <v>29</v>
      </c>
      <c r="O101" s="9" t="s">
        <v>30</v>
      </c>
    </row>
    <row r="102" spans="1:15" x14ac:dyDescent="0.3">
      <c r="A102" s="9" t="s">
        <v>310</v>
      </c>
      <c r="B102" s="10">
        <v>48719</v>
      </c>
      <c r="C102" s="9" t="s">
        <v>274</v>
      </c>
      <c r="D102" s="9" t="str">
        <f>PROPER(E102)</f>
        <v>Italy</v>
      </c>
      <c r="E102" s="9" t="s">
        <v>34</v>
      </c>
      <c r="F102" s="9" t="s">
        <v>73</v>
      </c>
      <c r="G102" s="9" t="s">
        <v>41</v>
      </c>
      <c r="H102" s="9">
        <v>9</v>
      </c>
      <c r="I102" s="5">
        <v>22.27</v>
      </c>
      <c r="J102" s="5">
        <v>200.43</v>
      </c>
      <c r="K102" s="5">
        <v>13.21</v>
      </c>
      <c r="L102" s="5">
        <v>72.47</v>
      </c>
      <c r="M102" s="9" t="s">
        <v>28</v>
      </c>
      <c r="N102" s="9" t="s">
        <v>29</v>
      </c>
      <c r="O102" s="9" t="s">
        <v>30</v>
      </c>
    </row>
    <row r="103" spans="1:15" x14ac:dyDescent="0.3">
      <c r="A103" s="9" t="s">
        <v>312</v>
      </c>
      <c r="B103" s="10">
        <v>48750</v>
      </c>
      <c r="C103" s="9" t="s">
        <v>128</v>
      </c>
      <c r="D103" s="9" t="str">
        <f>PROPER(E103)</f>
        <v>Australia</v>
      </c>
      <c r="E103" s="9" t="s">
        <v>172</v>
      </c>
      <c r="F103" s="9" t="s">
        <v>69</v>
      </c>
      <c r="G103" s="9" t="s">
        <v>59</v>
      </c>
      <c r="H103" s="9">
        <v>26</v>
      </c>
      <c r="I103" s="5">
        <v>27.65</v>
      </c>
      <c r="J103" s="5">
        <v>718.9</v>
      </c>
      <c r="K103" s="5">
        <v>46.25</v>
      </c>
      <c r="L103" s="5">
        <v>269.64999999999998</v>
      </c>
      <c r="M103" s="9" t="s">
        <v>28</v>
      </c>
      <c r="N103" s="9" t="s">
        <v>35</v>
      </c>
      <c r="O103" s="9" t="s">
        <v>173</v>
      </c>
    </row>
    <row r="104" spans="1:15" x14ac:dyDescent="0.3">
      <c r="A104" s="9" t="s">
        <v>313</v>
      </c>
      <c r="B104" s="10">
        <v>48780</v>
      </c>
      <c r="C104" s="9" t="s">
        <v>268</v>
      </c>
      <c r="D104" s="9" t="str">
        <f>PROPER(E104)</f>
        <v>Uk</v>
      </c>
      <c r="E104" s="9" t="s">
        <v>26</v>
      </c>
      <c r="F104" s="9" t="s">
        <v>69</v>
      </c>
      <c r="G104" s="9" t="s">
        <v>59</v>
      </c>
      <c r="H104" s="9">
        <v>23</v>
      </c>
      <c r="I104" s="5">
        <v>22.45</v>
      </c>
      <c r="J104" s="5">
        <v>516.35</v>
      </c>
      <c r="K104" s="5">
        <v>15.68</v>
      </c>
      <c r="L104" s="5">
        <v>144.16999999999999</v>
      </c>
      <c r="M104" s="9" t="s">
        <v>42</v>
      </c>
      <c r="N104" s="9" t="s">
        <v>35</v>
      </c>
      <c r="O104" s="9" t="s">
        <v>30</v>
      </c>
    </row>
    <row r="105" spans="1:15" x14ac:dyDescent="0.3">
      <c r="A105" s="9" t="s">
        <v>315</v>
      </c>
      <c r="B105" s="10">
        <v>48811</v>
      </c>
      <c r="C105" s="9" t="s">
        <v>163</v>
      </c>
      <c r="D105" s="9" t="str">
        <f>PROPER(E105)</f>
        <v>Uk</v>
      </c>
      <c r="E105" s="9" t="s">
        <v>26</v>
      </c>
      <c r="F105" s="9" t="s">
        <v>69</v>
      </c>
      <c r="G105" s="9" t="s">
        <v>59</v>
      </c>
      <c r="H105" s="9">
        <v>30</v>
      </c>
      <c r="I105" s="5">
        <v>21.93</v>
      </c>
      <c r="J105" s="5">
        <v>657.9</v>
      </c>
      <c r="K105" s="5">
        <v>24.66</v>
      </c>
      <c r="L105" s="5">
        <v>168.24</v>
      </c>
      <c r="M105" s="9" t="s">
        <v>28</v>
      </c>
      <c r="N105" s="9" t="s">
        <v>21</v>
      </c>
      <c r="O105" s="9" t="s">
        <v>30</v>
      </c>
    </row>
    <row r="106" spans="1:15" x14ac:dyDescent="0.3">
      <c r="A106" s="9" t="s">
        <v>317</v>
      </c>
      <c r="B106" s="10">
        <v>48842</v>
      </c>
      <c r="C106" s="9" t="s">
        <v>319</v>
      </c>
      <c r="D106" s="9" t="str">
        <f>PROPER(E106)</f>
        <v>Singapore</v>
      </c>
      <c r="E106" s="9" t="s">
        <v>82</v>
      </c>
      <c r="F106" s="9" t="s">
        <v>73</v>
      </c>
      <c r="G106" s="9" t="s">
        <v>41</v>
      </c>
      <c r="H106" s="9">
        <v>43</v>
      </c>
      <c r="I106" s="5">
        <v>21.92</v>
      </c>
      <c r="J106" s="5">
        <v>942.56</v>
      </c>
      <c r="K106" s="5">
        <v>51.15</v>
      </c>
      <c r="L106" s="5">
        <v>343.16</v>
      </c>
      <c r="M106" s="9" t="s">
        <v>20</v>
      </c>
      <c r="N106" s="9" t="s">
        <v>35</v>
      </c>
      <c r="O106" s="9" t="s">
        <v>66</v>
      </c>
    </row>
    <row r="107" spans="1:15" x14ac:dyDescent="0.3">
      <c r="A107" s="9" t="s">
        <v>320</v>
      </c>
      <c r="B107" s="10">
        <v>48872</v>
      </c>
      <c r="C107" s="9" t="s">
        <v>72</v>
      </c>
      <c r="D107" s="9" t="str">
        <f>PROPER(E107)</f>
        <v>Brazil</v>
      </c>
      <c r="E107" s="9" t="s">
        <v>39</v>
      </c>
      <c r="F107" s="9" t="s">
        <v>48</v>
      </c>
      <c r="G107" s="9" t="s">
        <v>49</v>
      </c>
      <c r="H107" s="9">
        <v>3</v>
      </c>
      <c r="I107" s="5">
        <v>56.21</v>
      </c>
      <c r="J107" s="5">
        <v>168.63</v>
      </c>
      <c r="K107" s="5">
        <v>7.56</v>
      </c>
      <c r="L107" s="5">
        <v>41.07</v>
      </c>
      <c r="M107" s="9" t="s">
        <v>42</v>
      </c>
      <c r="N107" s="9" t="s">
        <v>21</v>
      </c>
      <c r="O107" s="9" t="s">
        <v>43</v>
      </c>
    </row>
    <row r="108" spans="1:15" x14ac:dyDescent="0.3">
      <c r="A108" s="9" t="s">
        <v>322</v>
      </c>
      <c r="B108" s="10">
        <v>48903</v>
      </c>
      <c r="C108" s="9" t="s">
        <v>16</v>
      </c>
      <c r="D108" s="9" t="str">
        <f>PROPER(E108)</f>
        <v>Italy</v>
      </c>
      <c r="E108" s="9" t="s">
        <v>34</v>
      </c>
      <c r="F108" s="9" t="s">
        <v>73</v>
      </c>
      <c r="G108" s="9" t="s">
        <v>41</v>
      </c>
      <c r="H108" s="9">
        <v>33</v>
      </c>
      <c r="I108" s="5">
        <v>15.44</v>
      </c>
      <c r="J108" s="5">
        <v>509.52</v>
      </c>
      <c r="K108" s="5">
        <v>19.7</v>
      </c>
      <c r="L108" s="5">
        <v>69.069999999999993</v>
      </c>
      <c r="M108" s="9" t="s">
        <v>20</v>
      </c>
      <c r="N108" s="9" t="s">
        <v>35</v>
      </c>
      <c r="O108" s="9" t="s">
        <v>30</v>
      </c>
    </row>
    <row r="109" spans="1:15" x14ac:dyDescent="0.3">
      <c r="A109" s="9" t="s">
        <v>324</v>
      </c>
      <c r="B109" s="10">
        <v>48933</v>
      </c>
      <c r="C109" s="9" t="s">
        <v>117</v>
      </c>
      <c r="D109" s="9" t="str">
        <f>PROPER(E109)</f>
        <v>South Africa</v>
      </c>
      <c r="E109" s="9" t="s">
        <v>107</v>
      </c>
      <c r="F109" s="9" t="s">
        <v>69</v>
      </c>
      <c r="G109" s="9" t="s">
        <v>59</v>
      </c>
      <c r="H109" s="9">
        <v>50</v>
      </c>
      <c r="I109" s="5">
        <v>23.02</v>
      </c>
      <c r="J109" s="5">
        <v>1151</v>
      </c>
      <c r="K109" s="5">
        <v>69.3</v>
      </c>
      <c r="L109" s="5">
        <v>306.7</v>
      </c>
      <c r="M109" s="9" t="s">
        <v>28</v>
      </c>
      <c r="N109" s="9" t="s">
        <v>29</v>
      </c>
      <c r="O109" s="9" t="s">
        <v>108</v>
      </c>
    </row>
    <row r="110" spans="1:15" x14ac:dyDescent="0.3">
      <c r="A110" s="9" t="s">
        <v>326</v>
      </c>
      <c r="B110" s="10">
        <v>48964</v>
      </c>
      <c r="C110" s="9" t="s">
        <v>327</v>
      </c>
      <c r="D110" s="9" t="str">
        <f>PROPER(E110)</f>
        <v>Brazil</v>
      </c>
      <c r="E110" s="9" t="s">
        <v>39</v>
      </c>
      <c r="F110" s="9" t="s">
        <v>73</v>
      </c>
      <c r="G110" s="9" t="s">
        <v>41</v>
      </c>
      <c r="H110" s="9">
        <v>8</v>
      </c>
      <c r="I110" s="5">
        <v>17.010000000000002</v>
      </c>
      <c r="J110" s="5">
        <v>136.08000000000001</v>
      </c>
      <c r="K110" s="5">
        <v>8.84</v>
      </c>
      <c r="L110" s="5">
        <v>25.24</v>
      </c>
      <c r="M110" s="9" t="s">
        <v>20</v>
      </c>
      <c r="N110" s="9" t="s">
        <v>35</v>
      </c>
      <c r="O110" s="9" t="s">
        <v>43</v>
      </c>
    </row>
    <row r="111" spans="1:15" x14ac:dyDescent="0.3">
      <c r="A111" s="9" t="s">
        <v>328</v>
      </c>
      <c r="B111" s="10">
        <v>48995</v>
      </c>
      <c r="C111" s="9" t="s">
        <v>268</v>
      </c>
      <c r="D111" s="9" t="str">
        <f>PROPER(E111)</f>
        <v>France</v>
      </c>
      <c r="E111" s="9" t="s">
        <v>137</v>
      </c>
      <c r="F111" s="9" t="s">
        <v>27</v>
      </c>
      <c r="G111" s="9" t="s">
        <v>19</v>
      </c>
      <c r="H111" s="9">
        <v>16</v>
      </c>
      <c r="I111" s="5">
        <v>26.47</v>
      </c>
      <c r="J111" s="5">
        <v>423.52</v>
      </c>
      <c r="K111" s="5">
        <v>15.87</v>
      </c>
      <c r="L111" s="5">
        <v>119.65</v>
      </c>
      <c r="M111" s="9" t="s">
        <v>28</v>
      </c>
      <c r="N111" s="9" t="s">
        <v>21</v>
      </c>
      <c r="O111" s="9" t="s">
        <v>30</v>
      </c>
    </row>
    <row r="112" spans="1:15" x14ac:dyDescent="0.3">
      <c r="A112" s="9" t="s">
        <v>330</v>
      </c>
      <c r="B112" s="10">
        <v>49023</v>
      </c>
      <c r="C112" s="9" t="s">
        <v>238</v>
      </c>
      <c r="D112" s="9" t="str">
        <f>PROPER(E112)</f>
        <v>Brazil</v>
      </c>
      <c r="E112" s="9" t="s">
        <v>39</v>
      </c>
      <c r="F112" s="9" t="s">
        <v>40</v>
      </c>
      <c r="G112" s="9" t="s">
        <v>41</v>
      </c>
      <c r="H112" s="9">
        <v>32</v>
      </c>
      <c r="I112" s="5">
        <v>43.18</v>
      </c>
      <c r="J112" s="5">
        <v>1381.76</v>
      </c>
      <c r="K112" s="5">
        <v>88.54</v>
      </c>
      <c r="L112" s="5">
        <v>269.22000000000003</v>
      </c>
      <c r="M112" s="9" t="s">
        <v>28</v>
      </c>
      <c r="N112" s="9" t="s">
        <v>35</v>
      </c>
      <c r="O112" s="9" t="s">
        <v>43</v>
      </c>
    </row>
    <row r="113" spans="1:15" x14ac:dyDescent="0.3">
      <c r="A113" s="9" t="s">
        <v>332</v>
      </c>
      <c r="B113" s="10">
        <v>49054</v>
      </c>
      <c r="C113" s="9" t="s">
        <v>143</v>
      </c>
      <c r="D113" s="9" t="str">
        <f>PROPER(E113)</f>
        <v>Australia</v>
      </c>
      <c r="E113" s="9" t="s">
        <v>172</v>
      </c>
      <c r="F113" s="9" t="s">
        <v>69</v>
      </c>
      <c r="G113" s="9" t="s">
        <v>59</v>
      </c>
      <c r="H113" s="9">
        <v>29</v>
      </c>
      <c r="I113" s="5">
        <v>18.850000000000001</v>
      </c>
      <c r="J113" s="5">
        <v>546.65</v>
      </c>
      <c r="K113" s="5">
        <v>13.22</v>
      </c>
      <c r="L113" s="5">
        <v>83.93</v>
      </c>
      <c r="M113" s="9" t="s">
        <v>20</v>
      </c>
      <c r="N113" s="9" t="s">
        <v>35</v>
      </c>
      <c r="O113" s="9" t="s">
        <v>173</v>
      </c>
    </row>
    <row r="114" spans="1:15" x14ac:dyDescent="0.3">
      <c r="A114" s="9" t="s">
        <v>334</v>
      </c>
      <c r="B114" s="10">
        <v>49084</v>
      </c>
      <c r="C114" s="9" t="s">
        <v>336</v>
      </c>
      <c r="D114" s="9" t="str">
        <f>PROPER(E114)</f>
        <v>France</v>
      </c>
      <c r="E114" s="9" t="s">
        <v>137</v>
      </c>
      <c r="F114" s="9" t="s">
        <v>48</v>
      </c>
      <c r="G114" s="9" t="s">
        <v>49</v>
      </c>
      <c r="H114" s="9">
        <v>16</v>
      </c>
      <c r="I114" s="5">
        <v>64.400000000000006</v>
      </c>
      <c r="J114" s="5">
        <v>1030.4000000000001</v>
      </c>
      <c r="K114" s="5">
        <v>61.72</v>
      </c>
      <c r="L114" s="5">
        <v>328.68</v>
      </c>
      <c r="M114" s="9" t="s">
        <v>28</v>
      </c>
      <c r="N114" s="9" t="s">
        <v>29</v>
      </c>
      <c r="O114" s="9" t="s">
        <v>30</v>
      </c>
    </row>
    <row r="115" spans="1:15" x14ac:dyDescent="0.3">
      <c r="A115" s="9" t="s">
        <v>337</v>
      </c>
      <c r="B115" s="10">
        <v>49115</v>
      </c>
      <c r="C115" s="9" t="s">
        <v>339</v>
      </c>
      <c r="D115" s="9" t="str">
        <f>PROPER(E115)</f>
        <v>Singapore</v>
      </c>
      <c r="E115" s="9" t="s">
        <v>82</v>
      </c>
      <c r="F115" s="9" t="s">
        <v>69</v>
      </c>
      <c r="G115" s="9" t="s">
        <v>59</v>
      </c>
      <c r="H115" s="9">
        <v>15</v>
      </c>
      <c r="I115" s="5">
        <v>19.53</v>
      </c>
      <c r="J115" s="5">
        <v>292.95</v>
      </c>
      <c r="K115" s="5">
        <v>7.15</v>
      </c>
      <c r="L115" s="5">
        <v>53.3</v>
      </c>
      <c r="M115" s="9" t="s">
        <v>42</v>
      </c>
      <c r="N115" s="9" t="s">
        <v>29</v>
      </c>
      <c r="O115" s="9" t="s">
        <v>66</v>
      </c>
    </row>
    <row r="116" spans="1:15" x14ac:dyDescent="0.3">
      <c r="A116" s="9" t="s">
        <v>340</v>
      </c>
      <c r="B116" s="10">
        <v>49145</v>
      </c>
      <c r="C116" s="9" t="s">
        <v>148</v>
      </c>
      <c r="D116" s="9" t="str">
        <f>PROPER(E116)</f>
        <v>Germany</v>
      </c>
      <c r="E116" s="9" t="s">
        <v>207</v>
      </c>
      <c r="F116" s="9" t="s">
        <v>54</v>
      </c>
      <c r="G116" s="9" t="s">
        <v>41</v>
      </c>
      <c r="H116" s="9">
        <v>36</v>
      </c>
      <c r="I116" s="5">
        <v>26.05</v>
      </c>
      <c r="J116" s="5">
        <v>937.8</v>
      </c>
      <c r="K116" s="5">
        <v>32.799999999999997</v>
      </c>
      <c r="L116" s="5">
        <v>185</v>
      </c>
      <c r="M116" s="9" t="s">
        <v>20</v>
      </c>
      <c r="N116" s="9" t="s">
        <v>35</v>
      </c>
      <c r="O116" s="9" t="s">
        <v>30</v>
      </c>
    </row>
    <row r="117" spans="1:15" x14ac:dyDescent="0.3">
      <c r="A117" s="9" t="s">
        <v>341</v>
      </c>
      <c r="B117" s="10">
        <v>49176</v>
      </c>
      <c r="C117" s="9" t="s">
        <v>62</v>
      </c>
      <c r="D117" s="9" t="str">
        <f>PROPER(E117)</f>
        <v>South Africa</v>
      </c>
      <c r="E117" s="9" t="s">
        <v>107</v>
      </c>
      <c r="F117" s="9" t="s">
        <v>40</v>
      </c>
      <c r="G117" s="9" t="s">
        <v>41</v>
      </c>
      <c r="H117" s="9">
        <v>26</v>
      </c>
      <c r="I117" s="5">
        <v>47.52</v>
      </c>
      <c r="J117" s="5">
        <v>1235.52</v>
      </c>
      <c r="K117" s="5">
        <v>31.41</v>
      </c>
      <c r="L117" s="5">
        <v>372.11</v>
      </c>
      <c r="M117" s="9" t="s">
        <v>28</v>
      </c>
      <c r="N117" s="9" t="s">
        <v>21</v>
      </c>
      <c r="O117" s="9" t="s">
        <v>108</v>
      </c>
    </row>
    <row r="118" spans="1:15" x14ac:dyDescent="0.3">
      <c r="A118" s="9" t="s">
        <v>343</v>
      </c>
      <c r="B118" s="10">
        <v>49207</v>
      </c>
      <c r="C118" s="9" t="s">
        <v>301</v>
      </c>
      <c r="D118" s="9" t="str">
        <f>PROPER(E118)</f>
        <v>France</v>
      </c>
      <c r="E118" s="9" t="s">
        <v>137</v>
      </c>
      <c r="F118" s="9" t="s">
        <v>27</v>
      </c>
      <c r="G118" s="9" t="s">
        <v>19</v>
      </c>
      <c r="H118" s="9">
        <v>38</v>
      </c>
      <c r="I118" s="5">
        <v>26.38</v>
      </c>
      <c r="J118" s="5">
        <v>1002.44</v>
      </c>
      <c r="K118" s="5">
        <v>33.049999999999997</v>
      </c>
      <c r="L118" s="5">
        <v>285.39</v>
      </c>
      <c r="M118" s="9" t="s">
        <v>28</v>
      </c>
      <c r="N118" s="9" t="s">
        <v>21</v>
      </c>
      <c r="O118" s="9" t="s">
        <v>30</v>
      </c>
    </row>
    <row r="119" spans="1:15" x14ac:dyDescent="0.3">
      <c r="A119" s="9" t="s">
        <v>344</v>
      </c>
      <c r="B119" s="10">
        <v>49237</v>
      </c>
      <c r="C119" s="9" t="s">
        <v>188</v>
      </c>
      <c r="D119" s="9" t="str">
        <f>PROPER(E119)</f>
        <v>Japan</v>
      </c>
      <c r="E119" s="9" t="s">
        <v>93</v>
      </c>
      <c r="F119" s="9" t="s">
        <v>73</v>
      </c>
      <c r="G119" s="9" t="s">
        <v>41</v>
      </c>
      <c r="H119" s="9">
        <v>7</v>
      </c>
      <c r="I119" s="5">
        <v>17.66</v>
      </c>
      <c r="J119" s="5">
        <v>123.62</v>
      </c>
      <c r="K119" s="5">
        <v>6.95</v>
      </c>
      <c r="L119" s="5">
        <v>27.42</v>
      </c>
      <c r="M119" s="9" t="s">
        <v>20</v>
      </c>
      <c r="N119" s="9" t="s">
        <v>21</v>
      </c>
      <c r="O119" s="9" t="s">
        <v>66</v>
      </c>
    </row>
    <row r="120" spans="1:15" x14ac:dyDescent="0.3">
      <c r="A120" s="9" t="s">
        <v>345</v>
      </c>
      <c r="B120" s="10">
        <v>49268</v>
      </c>
      <c r="C120" s="9" t="s">
        <v>193</v>
      </c>
      <c r="D120" s="9" t="str">
        <f>PROPER(E120)</f>
        <v>Australia</v>
      </c>
      <c r="E120" s="9" t="s">
        <v>172</v>
      </c>
      <c r="F120" s="9" t="s">
        <v>18</v>
      </c>
      <c r="G120" s="9" t="s">
        <v>19</v>
      </c>
      <c r="H120" s="9">
        <v>26</v>
      </c>
      <c r="I120" s="5">
        <v>51.5</v>
      </c>
      <c r="J120" s="5">
        <v>1339</v>
      </c>
      <c r="K120" s="5">
        <v>92.09</v>
      </c>
      <c r="L120" s="5">
        <v>336.91</v>
      </c>
      <c r="M120" s="9" t="s">
        <v>28</v>
      </c>
      <c r="N120" s="9" t="s">
        <v>29</v>
      </c>
      <c r="O120" s="9" t="s">
        <v>173</v>
      </c>
    </row>
    <row r="121" spans="1:15" x14ac:dyDescent="0.3">
      <c r="A121" s="9" t="s">
        <v>346</v>
      </c>
      <c r="B121" s="10">
        <v>49298</v>
      </c>
      <c r="C121" s="9" t="s">
        <v>348</v>
      </c>
      <c r="D121" s="9" t="str">
        <f>PROPER(E121)</f>
        <v>Usa</v>
      </c>
      <c r="E121" s="9" t="s">
        <v>17</v>
      </c>
      <c r="F121" s="9" t="s">
        <v>69</v>
      </c>
      <c r="G121" s="9" t="s">
        <v>59</v>
      </c>
      <c r="H121" s="9">
        <v>27</v>
      </c>
      <c r="I121" s="5">
        <v>25</v>
      </c>
      <c r="J121" s="5">
        <v>675</v>
      </c>
      <c r="K121" s="5">
        <v>15.49</v>
      </c>
      <c r="L121" s="5">
        <v>241.01</v>
      </c>
      <c r="M121" s="9" t="s">
        <v>28</v>
      </c>
      <c r="N121" s="9" t="s">
        <v>29</v>
      </c>
      <c r="O121" s="9" t="s">
        <v>22</v>
      </c>
    </row>
    <row r="122" spans="1:15" x14ac:dyDescent="0.3">
      <c r="A122" s="9" t="s">
        <v>349</v>
      </c>
      <c r="B122" s="10">
        <v>49329</v>
      </c>
      <c r="C122" s="9" t="s">
        <v>52</v>
      </c>
      <c r="D122" s="9" t="str">
        <f>PROPER(E122)</f>
        <v>South Africa</v>
      </c>
      <c r="E122" s="9" t="s">
        <v>107</v>
      </c>
      <c r="F122" s="9" t="s">
        <v>73</v>
      </c>
      <c r="G122" s="9" t="s">
        <v>41</v>
      </c>
      <c r="H122" s="9">
        <v>4</v>
      </c>
      <c r="I122" s="5">
        <v>19</v>
      </c>
      <c r="J122" s="5">
        <v>76</v>
      </c>
      <c r="K122" s="5">
        <v>3.78</v>
      </c>
      <c r="L122" s="5">
        <v>21.22</v>
      </c>
      <c r="M122" s="9" t="s">
        <v>28</v>
      </c>
      <c r="N122" s="9" t="s">
        <v>35</v>
      </c>
      <c r="O122" s="9" t="s">
        <v>108</v>
      </c>
    </row>
    <row r="123" spans="1:15" x14ac:dyDescent="0.3">
      <c r="A123" s="9" t="s">
        <v>351</v>
      </c>
      <c r="B123" s="10">
        <v>49360</v>
      </c>
      <c r="C123" s="9" t="s">
        <v>274</v>
      </c>
      <c r="D123" s="9" t="str">
        <f>PROPER(E123)</f>
        <v>Canada</v>
      </c>
      <c r="E123" s="9" t="s">
        <v>47</v>
      </c>
      <c r="F123" s="9" t="s">
        <v>69</v>
      </c>
      <c r="G123" s="9" t="s">
        <v>59</v>
      </c>
      <c r="H123" s="9">
        <v>24</v>
      </c>
      <c r="I123" s="5">
        <v>26.63</v>
      </c>
      <c r="J123" s="5">
        <v>639.12</v>
      </c>
      <c r="K123" s="5">
        <v>31.92</v>
      </c>
      <c r="L123" s="5">
        <v>235.2</v>
      </c>
      <c r="M123" s="9" t="s">
        <v>42</v>
      </c>
      <c r="N123" s="9" t="s">
        <v>35</v>
      </c>
      <c r="O123" s="9" t="s">
        <v>22</v>
      </c>
    </row>
    <row r="124" spans="1:15" x14ac:dyDescent="0.3">
      <c r="A124" s="9" t="s">
        <v>352</v>
      </c>
      <c r="B124" s="10">
        <v>49388</v>
      </c>
      <c r="C124" s="9" t="s">
        <v>100</v>
      </c>
      <c r="D124" s="9" t="str">
        <f>PROPER(E124)</f>
        <v>Singapore</v>
      </c>
      <c r="E124" s="9" t="s">
        <v>82</v>
      </c>
      <c r="F124" s="9" t="s">
        <v>64</v>
      </c>
      <c r="G124" s="9" t="s">
        <v>65</v>
      </c>
      <c r="H124" s="9">
        <v>26</v>
      </c>
      <c r="I124" s="5">
        <v>43.14</v>
      </c>
      <c r="J124" s="5">
        <v>1121.6400000000001</v>
      </c>
      <c r="K124" s="5">
        <v>48.08</v>
      </c>
      <c r="L124" s="5">
        <v>423.56</v>
      </c>
      <c r="M124" s="9" t="s">
        <v>20</v>
      </c>
      <c r="N124" s="9" t="s">
        <v>29</v>
      </c>
      <c r="O124" s="9" t="s">
        <v>66</v>
      </c>
    </row>
    <row r="125" spans="1:15" x14ac:dyDescent="0.3">
      <c r="A125" s="9" t="s">
        <v>354</v>
      </c>
      <c r="B125" s="10">
        <v>49419</v>
      </c>
      <c r="C125" s="9" t="s">
        <v>284</v>
      </c>
      <c r="D125" s="9" t="str">
        <f>PROPER(E125)</f>
        <v>Canada</v>
      </c>
      <c r="E125" s="9" t="s">
        <v>47</v>
      </c>
      <c r="F125" s="9" t="s">
        <v>64</v>
      </c>
      <c r="G125" s="9" t="s">
        <v>65</v>
      </c>
      <c r="H125" s="9">
        <v>39</v>
      </c>
      <c r="I125" s="5">
        <v>30.01</v>
      </c>
      <c r="J125" s="5">
        <v>1170.3900000000001</v>
      </c>
      <c r="K125" s="5">
        <v>60.43</v>
      </c>
      <c r="L125" s="5">
        <v>134.96</v>
      </c>
      <c r="M125" s="9" t="s">
        <v>28</v>
      </c>
      <c r="N125" s="9" t="s">
        <v>21</v>
      </c>
      <c r="O125" s="9" t="s">
        <v>22</v>
      </c>
    </row>
    <row r="126" spans="1:15" x14ac:dyDescent="0.3">
      <c r="A126" s="9" t="s">
        <v>356</v>
      </c>
      <c r="B126" s="10">
        <v>49449</v>
      </c>
      <c r="C126" s="9" t="s">
        <v>358</v>
      </c>
      <c r="D126" s="9" t="str">
        <f>PROPER(E126)</f>
        <v>Germany</v>
      </c>
      <c r="E126" s="9" t="s">
        <v>207</v>
      </c>
      <c r="F126" s="9" t="s">
        <v>58</v>
      </c>
      <c r="G126" s="9" t="s">
        <v>59</v>
      </c>
      <c r="H126" s="9">
        <v>5</v>
      </c>
      <c r="I126" s="5">
        <v>31.31</v>
      </c>
      <c r="J126" s="5">
        <v>156.55000000000001</v>
      </c>
      <c r="K126" s="5">
        <v>4.04</v>
      </c>
      <c r="L126" s="5">
        <v>40.01</v>
      </c>
      <c r="M126" s="9" t="s">
        <v>42</v>
      </c>
      <c r="N126" s="9" t="s">
        <v>35</v>
      </c>
      <c r="O126" s="9" t="s">
        <v>30</v>
      </c>
    </row>
    <row r="127" spans="1:15" x14ac:dyDescent="0.3">
      <c r="A127" s="9" t="s">
        <v>359</v>
      </c>
      <c r="B127" s="10">
        <v>49480</v>
      </c>
      <c r="C127" s="9" t="s">
        <v>257</v>
      </c>
      <c r="D127" s="9" t="str">
        <f>PROPER(E127)</f>
        <v>Usa</v>
      </c>
      <c r="E127" s="9" t="s">
        <v>17</v>
      </c>
      <c r="F127" s="9" t="s">
        <v>103</v>
      </c>
      <c r="G127" s="9" t="s">
        <v>59</v>
      </c>
      <c r="H127" s="9">
        <v>42</v>
      </c>
      <c r="I127" s="5">
        <v>36.950000000000003</v>
      </c>
      <c r="J127" s="5">
        <v>1551.9</v>
      </c>
      <c r="K127" s="5">
        <v>74.260000000000005</v>
      </c>
      <c r="L127" s="5">
        <v>301.64</v>
      </c>
      <c r="M127" s="9" t="s">
        <v>28</v>
      </c>
      <c r="N127" s="9" t="s">
        <v>29</v>
      </c>
      <c r="O127" s="9" t="s">
        <v>22</v>
      </c>
    </row>
    <row r="128" spans="1:15" x14ac:dyDescent="0.3">
      <c r="A128" s="9" t="s">
        <v>361</v>
      </c>
      <c r="B128" s="10">
        <v>49510</v>
      </c>
      <c r="C128" s="9" t="s">
        <v>363</v>
      </c>
      <c r="D128" s="9" t="str">
        <f>PROPER(E128)</f>
        <v>Singapore</v>
      </c>
      <c r="E128" s="9" t="s">
        <v>82</v>
      </c>
      <c r="F128" s="9" t="s">
        <v>48</v>
      </c>
      <c r="G128" s="9" t="s">
        <v>49</v>
      </c>
      <c r="H128" s="9">
        <v>36</v>
      </c>
      <c r="I128" s="5">
        <v>57.37</v>
      </c>
      <c r="J128" s="5">
        <v>2065.3200000000002</v>
      </c>
      <c r="K128" s="5">
        <v>94.34</v>
      </c>
      <c r="L128" s="5">
        <v>530.98</v>
      </c>
      <c r="M128" s="9" t="s">
        <v>42</v>
      </c>
      <c r="N128" s="9" t="s">
        <v>21</v>
      </c>
      <c r="O128" s="9" t="s">
        <v>66</v>
      </c>
    </row>
    <row r="129" spans="1:15" x14ac:dyDescent="0.3">
      <c r="A129" s="9" t="s">
        <v>364</v>
      </c>
      <c r="B129" s="10">
        <v>49541</v>
      </c>
      <c r="C129" s="9" t="s">
        <v>38</v>
      </c>
      <c r="D129" s="9" t="str">
        <f>PROPER(E129)</f>
        <v>Uae</v>
      </c>
      <c r="E129" s="9" t="s">
        <v>89</v>
      </c>
      <c r="F129" s="9" t="s">
        <v>103</v>
      </c>
      <c r="G129" s="9" t="s">
        <v>59</v>
      </c>
      <c r="H129" s="9">
        <v>13</v>
      </c>
      <c r="I129" s="5">
        <v>40.18</v>
      </c>
      <c r="J129" s="5">
        <v>522.34</v>
      </c>
      <c r="K129" s="5">
        <v>37.369999999999997</v>
      </c>
      <c r="L129" s="5">
        <v>120.97</v>
      </c>
      <c r="M129" s="9" t="s">
        <v>28</v>
      </c>
      <c r="N129" s="9" t="s">
        <v>35</v>
      </c>
      <c r="O129" s="9" t="s">
        <v>66</v>
      </c>
    </row>
    <row r="130" spans="1:15" x14ac:dyDescent="0.3">
      <c r="A130" s="9" t="s">
        <v>366</v>
      </c>
      <c r="B130" s="10">
        <v>49572</v>
      </c>
      <c r="C130" s="9" t="s">
        <v>295</v>
      </c>
      <c r="D130" s="9" t="str">
        <f>PROPER(E130)</f>
        <v>Japan</v>
      </c>
      <c r="E130" s="9" t="s">
        <v>93</v>
      </c>
      <c r="F130" s="9" t="s">
        <v>40</v>
      </c>
      <c r="G130" s="9" t="s">
        <v>41</v>
      </c>
      <c r="H130" s="9">
        <v>37</v>
      </c>
      <c r="I130" s="5">
        <v>39.299999999999997</v>
      </c>
      <c r="J130" s="5">
        <v>1454.1</v>
      </c>
      <c r="K130" s="5">
        <v>67.08</v>
      </c>
      <c r="L130" s="5">
        <v>203.02</v>
      </c>
      <c r="M130" s="9" t="s">
        <v>42</v>
      </c>
      <c r="N130" s="9" t="s">
        <v>21</v>
      </c>
      <c r="O130" s="9" t="s">
        <v>66</v>
      </c>
    </row>
    <row r="131" spans="1:15" x14ac:dyDescent="0.3">
      <c r="A131" s="9" t="s">
        <v>368</v>
      </c>
      <c r="B131" s="10">
        <v>49602</v>
      </c>
      <c r="C131" s="9" t="s">
        <v>274</v>
      </c>
      <c r="D131" s="9" t="str">
        <f>PROPER(E131)</f>
        <v>Canada</v>
      </c>
      <c r="E131" s="9" t="s">
        <v>47</v>
      </c>
      <c r="F131" s="9" t="s">
        <v>40</v>
      </c>
      <c r="G131" s="9" t="s">
        <v>41</v>
      </c>
      <c r="H131" s="9">
        <v>17</v>
      </c>
      <c r="I131" s="5">
        <v>43.28</v>
      </c>
      <c r="J131" s="5">
        <v>735.76</v>
      </c>
      <c r="K131" s="5">
        <v>50.96</v>
      </c>
      <c r="L131" s="5">
        <v>140.80000000000001</v>
      </c>
      <c r="M131" s="9" t="s">
        <v>28</v>
      </c>
      <c r="N131" s="9" t="s">
        <v>29</v>
      </c>
      <c r="O131" s="9" t="s">
        <v>22</v>
      </c>
    </row>
    <row r="132" spans="1:15" x14ac:dyDescent="0.3">
      <c r="A132" s="9" t="s">
        <v>370</v>
      </c>
      <c r="B132" s="10">
        <v>49633</v>
      </c>
      <c r="C132" s="9" t="s">
        <v>16</v>
      </c>
      <c r="D132" s="9" t="str">
        <f>PROPER(E132)</f>
        <v>Uae</v>
      </c>
      <c r="E132" s="9" t="s">
        <v>89</v>
      </c>
      <c r="F132" s="9" t="s">
        <v>18</v>
      </c>
      <c r="G132" s="9" t="s">
        <v>19</v>
      </c>
      <c r="H132" s="9">
        <v>22</v>
      </c>
      <c r="I132" s="5">
        <v>62.79</v>
      </c>
      <c r="J132" s="5">
        <v>1381.38</v>
      </c>
      <c r="K132" s="5">
        <v>75.84</v>
      </c>
      <c r="L132" s="5">
        <v>535.54</v>
      </c>
      <c r="M132" s="9" t="s">
        <v>42</v>
      </c>
      <c r="N132" s="9" t="s">
        <v>35</v>
      </c>
      <c r="O132" s="9" t="s">
        <v>66</v>
      </c>
    </row>
    <row r="133" spans="1:15" x14ac:dyDescent="0.3">
      <c r="A133" s="9" t="s">
        <v>372</v>
      </c>
      <c r="B133" s="10">
        <v>49663</v>
      </c>
      <c r="C133" s="9" t="s">
        <v>215</v>
      </c>
      <c r="D133" s="9" t="str">
        <f>PROPER(E133)</f>
        <v>Germany</v>
      </c>
      <c r="E133" s="9" t="s">
        <v>207</v>
      </c>
      <c r="F133" s="9" t="s">
        <v>48</v>
      </c>
      <c r="G133" s="9" t="s">
        <v>49</v>
      </c>
      <c r="H133" s="9">
        <v>23</v>
      </c>
      <c r="I133" s="5">
        <v>56.76</v>
      </c>
      <c r="J133" s="5">
        <v>1305.48</v>
      </c>
      <c r="K133" s="5">
        <v>62.93</v>
      </c>
      <c r="L133" s="5">
        <v>322.55</v>
      </c>
      <c r="M133" s="9" t="s">
        <v>42</v>
      </c>
      <c r="N133" s="9" t="s">
        <v>35</v>
      </c>
      <c r="O133" s="9" t="s">
        <v>30</v>
      </c>
    </row>
    <row r="134" spans="1:15" x14ac:dyDescent="0.3">
      <c r="A134" s="9" t="s">
        <v>374</v>
      </c>
      <c r="B134" s="10">
        <v>49694</v>
      </c>
      <c r="C134" s="9" t="s">
        <v>33</v>
      </c>
      <c r="D134" s="9" t="str">
        <f>PROPER(E134)</f>
        <v>Uk</v>
      </c>
      <c r="E134" s="9" t="s">
        <v>26</v>
      </c>
      <c r="F134" s="9" t="s">
        <v>48</v>
      </c>
      <c r="G134" s="9" t="s">
        <v>49</v>
      </c>
      <c r="H134" s="9">
        <v>22</v>
      </c>
      <c r="I134" s="5">
        <v>60.13</v>
      </c>
      <c r="J134" s="5">
        <v>1322.86</v>
      </c>
      <c r="K134" s="5">
        <v>54.06</v>
      </c>
      <c r="L134" s="5">
        <v>388.8</v>
      </c>
      <c r="M134" s="9" t="s">
        <v>42</v>
      </c>
      <c r="N134" s="9" t="s">
        <v>29</v>
      </c>
      <c r="O134" s="9" t="s">
        <v>30</v>
      </c>
    </row>
    <row r="135" spans="1:15" x14ac:dyDescent="0.3">
      <c r="A135" s="9" t="s">
        <v>376</v>
      </c>
      <c r="B135" s="10">
        <v>49725</v>
      </c>
      <c r="C135" s="9" t="s">
        <v>377</v>
      </c>
      <c r="D135" s="9" t="str">
        <f>PROPER(E135)</f>
        <v>Singapore</v>
      </c>
      <c r="E135" s="9" t="s">
        <v>82</v>
      </c>
      <c r="F135" s="9" t="s">
        <v>64</v>
      </c>
      <c r="G135" s="9" t="s">
        <v>65</v>
      </c>
      <c r="H135" s="9">
        <v>21</v>
      </c>
      <c r="I135" s="5">
        <v>40.98</v>
      </c>
      <c r="J135" s="5">
        <v>860.58</v>
      </c>
      <c r="K135" s="5">
        <v>37.01</v>
      </c>
      <c r="L135" s="5">
        <v>298.57</v>
      </c>
      <c r="M135" s="9" t="s">
        <v>20</v>
      </c>
      <c r="N135" s="9" t="s">
        <v>35</v>
      </c>
      <c r="O135" s="9" t="s">
        <v>66</v>
      </c>
    </row>
    <row r="136" spans="1:15" x14ac:dyDescent="0.3">
      <c r="A136" s="9" t="s">
        <v>378</v>
      </c>
      <c r="B136" s="10">
        <v>49754</v>
      </c>
      <c r="C136" s="9" t="s">
        <v>154</v>
      </c>
      <c r="D136" s="9" t="str">
        <f>PROPER(E136)</f>
        <v>Brazil</v>
      </c>
      <c r="E136" s="9" t="s">
        <v>39</v>
      </c>
      <c r="F136" s="9" t="s">
        <v>48</v>
      </c>
      <c r="G136" s="9" t="s">
        <v>49</v>
      </c>
      <c r="H136" s="9">
        <v>36</v>
      </c>
      <c r="I136" s="5">
        <v>54.6</v>
      </c>
      <c r="J136" s="5">
        <v>1965.6</v>
      </c>
      <c r="K136" s="5">
        <v>150.34</v>
      </c>
      <c r="L136" s="5">
        <v>375.26</v>
      </c>
      <c r="M136" s="9" t="s">
        <v>28</v>
      </c>
      <c r="N136" s="9" t="s">
        <v>21</v>
      </c>
      <c r="O136" s="9" t="s">
        <v>43</v>
      </c>
    </row>
    <row r="137" spans="1:15" x14ac:dyDescent="0.3">
      <c r="A137" s="9" t="s">
        <v>380</v>
      </c>
      <c r="B137" s="10">
        <v>49785</v>
      </c>
      <c r="C137" s="9" t="s">
        <v>327</v>
      </c>
      <c r="D137" s="9" t="str">
        <f>PROPER(E137)</f>
        <v>Italy</v>
      </c>
      <c r="E137" s="9" t="s">
        <v>34</v>
      </c>
      <c r="F137" s="9" t="s">
        <v>69</v>
      </c>
      <c r="G137" s="9" t="s">
        <v>59</v>
      </c>
      <c r="H137" s="9">
        <v>1</v>
      </c>
      <c r="I137" s="5">
        <v>27.49</v>
      </c>
      <c r="J137" s="5">
        <v>27.49</v>
      </c>
      <c r="K137" s="5">
        <v>0.63</v>
      </c>
      <c r="L137" s="5">
        <v>11.36</v>
      </c>
      <c r="M137" s="9" t="s">
        <v>28</v>
      </c>
      <c r="N137" s="9" t="s">
        <v>35</v>
      </c>
      <c r="O137" s="9" t="s">
        <v>30</v>
      </c>
    </row>
    <row r="138" spans="1:15" x14ac:dyDescent="0.3">
      <c r="A138" s="9" t="s">
        <v>382</v>
      </c>
      <c r="B138" s="10">
        <v>49815</v>
      </c>
      <c r="C138" s="9" t="s">
        <v>384</v>
      </c>
      <c r="D138" s="9" t="str">
        <f>PROPER(E138)</f>
        <v>Singapore</v>
      </c>
      <c r="E138" s="9" t="s">
        <v>82</v>
      </c>
      <c r="F138" s="9" t="s">
        <v>40</v>
      </c>
      <c r="G138" s="9" t="s">
        <v>41</v>
      </c>
      <c r="H138" s="9">
        <v>50</v>
      </c>
      <c r="I138" s="5">
        <v>41.11</v>
      </c>
      <c r="J138" s="5">
        <v>2055.5</v>
      </c>
      <c r="K138" s="5">
        <v>95.61</v>
      </c>
      <c r="L138" s="5">
        <v>359.89</v>
      </c>
      <c r="M138" s="9" t="s">
        <v>42</v>
      </c>
      <c r="N138" s="9" t="s">
        <v>29</v>
      </c>
      <c r="O138" s="9" t="s">
        <v>66</v>
      </c>
    </row>
    <row r="139" spans="1:15" x14ac:dyDescent="0.3">
      <c r="A139" s="9" t="s">
        <v>385</v>
      </c>
      <c r="B139" s="10">
        <v>49846</v>
      </c>
      <c r="C139" s="9" t="s">
        <v>157</v>
      </c>
      <c r="D139" s="9" t="str">
        <f>PROPER(E139)</f>
        <v>China</v>
      </c>
      <c r="E139" s="9" t="s">
        <v>63</v>
      </c>
      <c r="F139" s="9" t="s">
        <v>69</v>
      </c>
      <c r="G139" s="9" t="s">
        <v>59</v>
      </c>
      <c r="H139" s="9">
        <v>18</v>
      </c>
      <c r="I139" s="5">
        <v>25.54</v>
      </c>
      <c r="J139" s="5">
        <v>459.72</v>
      </c>
      <c r="K139" s="5">
        <v>27.02</v>
      </c>
      <c r="L139" s="5">
        <v>153.69999999999999</v>
      </c>
      <c r="M139" s="9" t="s">
        <v>28</v>
      </c>
      <c r="N139" s="9" t="s">
        <v>21</v>
      </c>
      <c r="O139" s="9" t="s">
        <v>66</v>
      </c>
    </row>
    <row r="140" spans="1:15" x14ac:dyDescent="0.3">
      <c r="A140" s="9" t="s">
        <v>387</v>
      </c>
      <c r="B140" s="10">
        <v>49876</v>
      </c>
      <c r="C140" s="9" t="s">
        <v>336</v>
      </c>
      <c r="D140" s="9" t="str">
        <f>PROPER(E140)</f>
        <v>Japan</v>
      </c>
      <c r="E140" s="9" t="s">
        <v>93</v>
      </c>
      <c r="F140" s="9" t="s">
        <v>103</v>
      </c>
      <c r="G140" s="9" t="s">
        <v>59</v>
      </c>
      <c r="H140" s="9">
        <v>4</v>
      </c>
      <c r="I140" s="5">
        <v>47.52</v>
      </c>
      <c r="J140" s="5">
        <v>190.08</v>
      </c>
      <c r="K140" s="5">
        <v>10.23</v>
      </c>
      <c r="L140" s="5">
        <v>67.849999999999994</v>
      </c>
      <c r="M140" s="9" t="s">
        <v>20</v>
      </c>
      <c r="N140" s="9" t="s">
        <v>21</v>
      </c>
      <c r="O140" s="9" t="s">
        <v>66</v>
      </c>
    </row>
    <row r="141" spans="1:15" x14ac:dyDescent="0.3">
      <c r="A141" s="9" t="s">
        <v>389</v>
      </c>
      <c r="B141" s="10">
        <v>49907</v>
      </c>
      <c r="C141" s="9" t="s">
        <v>238</v>
      </c>
      <c r="D141" s="9" t="str">
        <f>PROPER(E141)</f>
        <v>Italy</v>
      </c>
      <c r="E141" s="9" t="s">
        <v>34</v>
      </c>
      <c r="F141" s="9" t="s">
        <v>64</v>
      </c>
      <c r="G141" s="9" t="s">
        <v>65</v>
      </c>
      <c r="H141" s="9">
        <v>29</v>
      </c>
      <c r="I141" s="5">
        <v>30.48</v>
      </c>
      <c r="J141" s="5">
        <v>883.92</v>
      </c>
      <c r="K141" s="5">
        <v>33.15</v>
      </c>
      <c r="L141" s="5">
        <v>125.77</v>
      </c>
      <c r="M141" s="9" t="s">
        <v>42</v>
      </c>
      <c r="N141" s="9" t="s">
        <v>21</v>
      </c>
      <c r="O141" s="9" t="s">
        <v>30</v>
      </c>
    </row>
    <row r="142" spans="1:15" x14ac:dyDescent="0.3">
      <c r="A142" s="9" t="s">
        <v>391</v>
      </c>
      <c r="B142" s="10">
        <v>49938</v>
      </c>
      <c r="C142" s="9" t="s">
        <v>235</v>
      </c>
      <c r="D142" s="9" t="str">
        <f>PROPER(E142)</f>
        <v>South Africa</v>
      </c>
      <c r="E142" s="9" t="s">
        <v>107</v>
      </c>
      <c r="F142" s="9" t="s">
        <v>48</v>
      </c>
      <c r="G142" s="9" t="s">
        <v>49</v>
      </c>
      <c r="H142" s="9">
        <v>27</v>
      </c>
      <c r="I142" s="5">
        <v>50.39</v>
      </c>
      <c r="J142" s="5">
        <v>1360.53</v>
      </c>
      <c r="K142" s="5">
        <v>106.4</v>
      </c>
      <c r="L142" s="5">
        <v>174.13</v>
      </c>
      <c r="M142" s="9" t="s">
        <v>28</v>
      </c>
      <c r="N142" s="9" t="s">
        <v>29</v>
      </c>
      <c r="O142" s="9" t="s">
        <v>108</v>
      </c>
    </row>
    <row r="143" spans="1:15" x14ac:dyDescent="0.3">
      <c r="A143" s="9" t="s">
        <v>392</v>
      </c>
      <c r="B143" s="10">
        <v>49968</v>
      </c>
      <c r="C143" s="9" t="s">
        <v>198</v>
      </c>
      <c r="D143" s="9" t="str">
        <f>PROPER(E143)</f>
        <v>Germany</v>
      </c>
      <c r="E143" s="9" t="s">
        <v>207</v>
      </c>
      <c r="F143" s="9" t="s">
        <v>64</v>
      </c>
      <c r="G143" s="9" t="s">
        <v>65</v>
      </c>
      <c r="H143" s="9">
        <v>34</v>
      </c>
      <c r="I143" s="5">
        <v>37.68</v>
      </c>
      <c r="J143" s="5">
        <v>1281.1199999999999</v>
      </c>
      <c r="K143" s="5">
        <v>54.86</v>
      </c>
      <c r="L143" s="5">
        <v>376.26</v>
      </c>
      <c r="M143" s="9" t="s">
        <v>42</v>
      </c>
      <c r="N143" s="9" t="s">
        <v>21</v>
      </c>
      <c r="O143" s="9" t="s">
        <v>30</v>
      </c>
    </row>
    <row r="144" spans="1:15" x14ac:dyDescent="0.3">
      <c r="A144" s="9" t="s">
        <v>394</v>
      </c>
      <c r="B144" s="10">
        <v>49999</v>
      </c>
      <c r="C144" s="9" t="s">
        <v>395</v>
      </c>
      <c r="D144" s="9" t="str">
        <f>PROPER(E144)</f>
        <v>Japan</v>
      </c>
      <c r="E144" s="9" t="s">
        <v>93</v>
      </c>
      <c r="F144" s="9" t="s">
        <v>64</v>
      </c>
      <c r="G144" s="9" t="s">
        <v>65</v>
      </c>
      <c r="H144" s="9">
        <v>3</v>
      </c>
      <c r="I144" s="5">
        <v>39.32</v>
      </c>
      <c r="J144" s="5">
        <v>117.96</v>
      </c>
      <c r="K144" s="5">
        <v>6.97</v>
      </c>
      <c r="L144" s="5">
        <v>35.99</v>
      </c>
      <c r="M144" s="9" t="s">
        <v>28</v>
      </c>
      <c r="N144" s="9" t="s">
        <v>29</v>
      </c>
      <c r="O144" s="9" t="s">
        <v>66</v>
      </c>
    </row>
    <row r="145" spans="1:15" x14ac:dyDescent="0.3">
      <c r="A145" s="9" t="s">
        <v>396</v>
      </c>
      <c r="B145" s="10">
        <v>50029</v>
      </c>
      <c r="C145" s="9" t="s">
        <v>339</v>
      </c>
      <c r="D145" s="9" t="str">
        <f>PROPER(E145)</f>
        <v>Canada</v>
      </c>
      <c r="E145" s="9" t="s">
        <v>47</v>
      </c>
      <c r="F145" s="9" t="s">
        <v>73</v>
      </c>
      <c r="G145" s="9" t="s">
        <v>41</v>
      </c>
      <c r="H145" s="9">
        <v>24</v>
      </c>
      <c r="I145" s="5">
        <v>18</v>
      </c>
      <c r="J145" s="5">
        <v>432</v>
      </c>
      <c r="K145" s="5">
        <v>22.68</v>
      </c>
      <c r="L145" s="5">
        <v>103.32</v>
      </c>
      <c r="M145" s="9" t="s">
        <v>20</v>
      </c>
      <c r="N145" s="9" t="s">
        <v>35</v>
      </c>
      <c r="O145" s="9" t="s">
        <v>22</v>
      </c>
    </row>
    <row r="146" spans="1:15" x14ac:dyDescent="0.3">
      <c r="A146" s="9" t="s">
        <v>397</v>
      </c>
      <c r="B146" s="10">
        <v>50060</v>
      </c>
      <c r="C146" s="9" t="s">
        <v>128</v>
      </c>
      <c r="D146" s="9" t="str">
        <f>PROPER(E146)</f>
        <v>Uk</v>
      </c>
      <c r="E146" s="9" t="s">
        <v>26</v>
      </c>
      <c r="F146" s="9" t="s">
        <v>58</v>
      </c>
      <c r="G146" s="9" t="s">
        <v>59</v>
      </c>
      <c r="H146" s="9">
        <v>5</v>
      </c>
      <c r="I146" s="5">
        <v>36.43</v>
      </c>
      <c r="J146" s="5">
        <v>182.15</v>
      </c>
      <c r="K146" s="5">
        <v>7.82</v>
      </c>
      <c r="L146" s="5">
        <v>61.83</v>
      </c>
      <c r="M146" s="9" t="s">
        <v>20</v>
      </c>
      <c r="N146" s="9" t="s">
        <v>35</v>
      </c>
      <c r="O146" s="9" t="s">
        <v>30</v>
      </c>
    </row>
    <row r="147" spans="1:15" x14ac:dyDescent="0.3">
      <c r="A147" s="9" t="s">
        <v>399</v>
      </c>
      <c r="B147" s="10">
        <v>50091</v>
      </c>
      <c r="C147" s="9" t="s">
        <v>136</v>
      </c>
      <c r="D147" s="9" t="str">
        <f>PROPER(E147)</f>
        <v>China</v>
      </c>
      <c r="E147" s="9" t="s">
        <v>63</v>
      </c>
      <c r="F147" s="9" t="s">
        <v>58</v>
      </c>
      <c r="G147" s="9" t="s">
        <v>59</v>
      </c>
      <c r="H147" s="9">
        <v>27</v>
      </c>
      <c r="I147" s="5">
        <v>38.39</v>
      </c>
      <c r="J147" s="5">
        <v>1036.53</v>
      </c>
      <c r="K147" s="5">
        <v>28.6</v>
      </c>
      <c r="L147" s="5">
        <v>400.43</v>
      </c>
      <c r="M147" s="9" t="s">
        <v>28</v>
      </c>
      <c r="N147" s="9" t="s">
        <v>21</v>
      </c>
      <c r="O147" s="9" t="s">
        <v>66</v>
      </c>
    </row>
    <row r="148" spans="1:15" x14ac:dyDescent="0.3">
      <c r="A148" s="9" t="s">
        <v>401</v>
      </c>
      <c r="B148" s="10">
        <v>50119</v>
      </c>
      <c r="C148" s="9" t="s">
        <v>185</v>
      </c>
      <c r="D148" s="9" t="str">
        <f>PROPER(E148)</f>
        <v>Brazil</v>
      </c>
      <c r="E148" s="9" t="s">
        <v>39</v>
      </c>
      <c r="F148" s="9" t="s">
        <v>103</v>
      </c>
      <c r="G148" s="9" t="s">
        <v>59</v>
      </c>
      <c r="H148" s="9">
        <v>10</v>
      </c>
      <c r="I148" s="5">
        <v>47.5</v>
      </c>
      <c r="J148" s="5">
        <v>475</v>
      </c>
      <c r="K148" s="5">
        <v>15.95</v>
      </c>
      <c r="L148" s="5">
        <v>179.05</v>
      </c>
      <c r="M148" s="9" t="s">
        <v>20</v>
      </c>
      <c r="N148" s="9" t="s">
        <v>21</v>
      </c>
      <c r="O148" s="9" t="s">
        <v>43</v>
      </c>
    </row>
    <row r="149" spans="1:15" x14ac:dyDescent="0.3">
      <c r="A149" s="9" t="s">
        <v>403</v>
      </c>
      <c r="B149" s="10">
        <v>50150</v>
      </c>
      <c r="C149" s="9" t="s">
        <v>404</v>
      </c>
      <c r="D149" s="9" t="str">
        <f>PROPER(E149)</f>
        <v>Uae</v>
      </c>
      <c r="E149" s="9" t="s">
        <v>89</v>
      </c>
      <c r="F149" s="9" t="s">
        <v>40</v>
      </c>
      <c r="G149" s="9" t="s">
        <v>41</v>
      </c>
      <c r="H149" s="9">
        <v>47</v>
      </c>
      <c r="I149" s="5">
        <v>50.13</v>
      </c>
      <c r="J149" s="5">
        <v>2356.11</v>
      </c>
      <c r="K149" s="5">
        <v>166.22</v>
      </c>
      <c r="L149" s="5">
        <v>685.89</v>
      </c>
      <c r="M149" s="9" t="s">
        <v>20</v>
      </c>
      <c r="N149" s="9" t="s">
        <v>21</v>
      </c>
      <c r="O149" s="9" t="s">
        <v>66</v>
      </c>
    </row>
    <row r="150" spans="1:15" x14ac:dyDescent="0.3">
      <c r="A150" s="9" t="s">
        <v>405</v>
      </c>
      <c r="B150" s="10">
        <v>50180</v>
      </c>
      <c r="C150" s="9" t="s">
        <v>407</v>
      </c>
      <c r="D150" s="9" t="str">
        <f>PROPER(E150)</f>
        <v>Mexico</v>
      </c>
      <c r="E150" s="9" t="s">
        <v>53</v>
      </c>
      <c r="F150" s="9" t="s">
        <v>103</v>
      </c>
      <c r="G150" s="9" t="s">
        <v>59</v>
      </c>
      <c r="H150" s="9">
        <v>47</v>
      </c>
      <c r="I150" s="5">
        <v>42.25</v>
      </c>
      <c r="J150" s="5">
        <v>1985.75</v>
      </c>
      <c r="K150" s="5">
        <v>116.75</v>
      </c>
      <c r="L150" s="5">
        <v>553</v>
      </c>
      <c r="M150" s="9" t="s">
        <v>28</v>
      </c>
      <c r="N150" s="9" t="s">
        <v>21</v>
      </c>
      <c r="O150" s="9" t="s">
        <v>22</v>
      </c>
    </row>
    <row r="151" spans="1:15" x14ac:dyDescent="0.3">
      <c r="A151" s="9" t="s">
        <v>408</v>
      </c>
      <c r="B151" s="10">
        <v>50211</v>
      </c>
      <c r="C151" s="9" t="s">
        <v>409</v>
      </c>
      <c r="D151" s="9" t="str">
        <f>PROPER(E151)</f>
        <v>China</v>
      </c>
      <c r="E151" s="9" t="s">
        <v>63</v>
      </c>
      <c r="F151" s="9" t="s">
        <v>64</v>
      </c>
      <c r="G151" s="9" t="s">
        <v>65</v>
      </c>
      <c r="H151" s="9">
        <v>18</v>
      </c>
      <c r="I151" s="5">
        <v>38.26</v>
      </c>
      <c r="J151" s="5">
        <v>688.68</v>
      </c>
      <c r="K151" s="5">
        <v>18.78</v>
      </c>
      <c r="L151" s="5">
        <v>219.9</v>
      </c>
      <c r="M151" s="9" t="s">
        <v>28</v>
      </c>
      <c r="N151" s="9" t="s">
        <v>21</v>
      </c>
      <c r="O151" s="9" t="s">
        <v>66</v>
      </c>
    </row>
    <row r="152" spans="1:15" x14ac:dyDescent="0.3">
      <c r="A152" s="9" t="s">
        <v>410</v>
      </c>
      <c r="B152" s="10">
        <v>50241</v>
      </c>
      <c r="C152" s="9" t="s">
        <v>106</v>
      </c>
      <c r="D152" s="9" t="str">
        <f>PROPER(E152)</f>
        <v>Singapore</v>
      </c>
      <c r="E152" s="9" t="s">
        <v>82</v>
      </c>
      <c r="F152" s="9" t="s">
        <v>103</v>
      </c>
      <c r="G152" s="9" t="s">
        <v>59</v>
      </c>
      <c r="H152" s="9">
        <v>31</v>
      </c>
      <c r="I152" s="5">
        <v>46.66</v>
      </c>
      <c r="J152" s="5">
        <v>1446.46</v>
      </c>
      <c r="K152" s="5">
        <v>109.24</v>
      </c>
      <c r="L152" s="5">
        <v>469.22</v>
      </c>
      <c r="M152" s="9" t="s">
        <v>20</v>
      </c>
      <c r="N152" s="9" t="s">
        <v>35</v>
      </c>
      <c r="O152" s="9" t="s">
        <v>66</v>
      </c>
    </row>
    <row r="153" spans="1:15" x14ac:dyDescent="0.3">
      <c r="A153" s="9" t="s">
        <v>412</v>
      </c>
      <c r="B153" s="10">
        <v>50272</v>
      </c>
      <c r="C153" s="9" t="s">
        <v>414</v>
      </c>
      <c r="D153" s="9" t="str">
        <f>PROPER(E153)</f>
        <v>South Africa</v>
      </c>
      <c r="E153" s="9" t="s">
        <v>107</v>
      </c>
      <c r="F153" s="9" t="s">
        <v>40</v>
      </c>
      <c r="G153" s="9" t="s">
        <v>41</v>
      </c>
      <c r="H153" s="9">
        <v>41</v>
      </c>
      <c r="I153" s="5">
        <v>52.65</v>
      </c>
      <c r="J153" s="5">
        <v>2158.65</v>
      </c>
      <c r="K153" s="5">
        <v>110.1</v>
      </c>
      <c r="L153" s="5">
        <v>736.55</v>
      </c>
      <c r="M153" s="9" t="s">
        <v>28</v>
      </c>
      <c r="N153" s="9" t="s">
        <v>35</v>
      </c>
      <c r="O153" s="9" t="s">
        <v>108</v>
      </c>
    </row>
    <row r="154" spans="1:15" x14ac:dyDescent="0.3">
      <c r="A154" s="9" t="s">
        <v>415</v>
      </c>
      <c r="B154" s="10">
        <v>50303</v>
      </c>
      <c r="C154" s="9" t="s">
        <v>151</v>
      </c>
      <c r="D154" s="9" t="str">
        <f>PROPER(E154)</f>
        <v>Japan</v>
      </c>
      <c r="E154" s="9" t="s">
        <v>93</v>
      </c>
      <c r="F154" s="9" t="s">
        <v>27</v>
      </c>
      <c r="G154" s="9" t="s">
        <v>19</v>
      </c>
      <c r="H154" s="9">
        <v>28</v>
      </c>
      <c r="I154" s="5">
        <v>22.66</v>
      </c>
      <c r="J154" s="5">
        <v>634.48</v>
      </c>
      <c r="K154" s="5">
        <v>15.55</v>
      </c>
      <c r="L154" s="5">
        <v>114.93</v>
      </c>
      <c r="M154" s="9" t="s">
        <v>42</v>
      </c>
      <c r="N154" s="9" t="s">
        <v>21</v>
      </c>
      <c r="O154" s="9" t="s">
        <v>66</v>
      </c>
    </row>
    <row r="155" spans="1:15" x14ac:dyDescent="0.3">
      <c r="A155" s="9" t="s">
        <v>417</v>
      </c>
      <c r="B155" s="10">
        <v>50333</v>
      </c>
      <c r="C155" s="9" t="s">
        <v>395</v>
      </c>
      <c r="D155" s="9" t="str">
        <f>PROPER(E155)</f>
        <v>Mexico</v>
      </c>
      <c r="E155" s="9" t="s">
        <v>53</v>
      </c>
      <c r="F155" s="9" t="s">
        <v>69</v>
      </c>
      <c r="G155" s="9" t="s">
        <v>59</v>
      </c>
      <c r="H155" s="9">
        <v>48</v>
      </c>
      <c r="I155" s="5">
        <v>25.07</v>
      </c>
      <c r="J155" s="5">
        <v>1203.3599999999999</v>
      </c>
      <c r="K155" s="5">
        <v>29.93</v>
      </c>
      <c r="L155" s="5">
        <v>429.43</v>
      </c>
      <c r="M155" s="9" t="s">
        <v>28</v>
      </c>
      <c r="N155" s="9" t="s">
        <v>29</v>
      </c>
      <c r="O155" s="9" t="s">
        <v>22</v>
      </c>
    </row>
    <row r="156" spans="1:15" x14ac:dyDescent="0.3">
      <c r="A156" s="9" t="s">
        <v>419</v>
      </c>
      <c r="B156" s="10">
        <v>50364</v>
      </c>
      <c r="C156" s="9" t="s">
        <v>38</v>
      </c>
      <c r="D156" s="9" t="str">
        <f>PROPER(E156)</f>
        <v>Brazil</v>
      </c>
      <c r="E156" s="9" t="s">
        <v>39</v>
      </c>
      <c r="F156" s="9" t="s">
        <v>27</v>
      </c>
      <c r="G156" s="9" t="s">
        <v>19</v>
      </c>
      <c r="H156" s="9">
        <v>31</v>
      </c>
      <c r="I156" s="5">
        <v>30.53</v>
      </c>
      <c r="J156" s="5">
        <v>946.43</v>
      </c>
      <c r="K156" s="5">
        <v>72.150000000000006</v>
      </c>
      <c r="L156" s="5">
        <v>316.27999999999997</v>
      </c>
      <c r="M156" s="9" t="s">
        <v>42</v>
      </c>
      <c r="N156" s="9" t="s">
        <v>29</v>
      </c>
      <c r="O156" s="9" t="s">
        <v>43</v>
      </c>
    </row>
    <row r="157" spans="1:15" x14ac:dyDescent="0.3">
      <c r="A157" s="9" t="s">
        <v>420</v>
      </c>
      <c r="B157" s="10">
        <v>50394</v>
      </c>
      <c r="C157" s="9" t="s">
        <v>422</v>
      </c>
      <c r="D157" s="9" t="str">
        <f>PROPER(E157)</f>
        <v>South Africa</v>
      </c>
      <c r="E157" s="9" t="s">
        <v>107</v>
      </c>
      <c r="F157" s="9" t="s">
        <v>58</v>
      </c>
      <c r="G157" s="9" t="s">
        <v>59</v>
      </c>
      <c r="H157" s="9">
        <v>33</v>
      </c>
      <c r="I157" s="5">
        <v>31</v>
      </c>
      <c r="J157" s="5">
        <v>1023</v>
      </c>
      <c r="K157" s="5">
        <v>63.94</v>
      </c>
      <c r="L157" s="5">
        <v>216.56</v>
      </c>
      <c r="M157" s="9" t="s">
        <v>28</v>
      </c>
      <c r="N157" s="9" t="s">
        <v>21</v>
      </c>
      <c r="O157" s="9" t="s">
        <v>108</v>
      </c>
    </row>
    <row r="158" spans="1:15" x14ac:dyDescent="0.3">
      <c r="A158" s="9" t="s">
        <v>423</v>
      </c>
      <c r="B158" s="10">
        <v>50425</v>
      </c>
      <c r="C158" s="9" t="s">
        <v>157</v>
      </c>
      <c r="D158" s="9" t="str">
        <f>PROPER(E158)</f>
        <v>Uk</v>
      </c>
      <c r="E158" s="9" t="s">
        <v>26</v>
      </c>
      <c r="F158" s="9" t="s">
        <v>69</v>
      </c>
      <c r="G158" s="9" t="s">
        <v>59</v>
      </c>
      <c r="H158" s="9">
        <v>32</v>
      </c>
      <c r="I158" s="5">
        <v>20.86</v>
      </c>
      <c r="J158" s="5">
        <v>667.52</v>
      </c>
      <c r="K158" s="5">
        <v>21.62</v>
      </c>
      <c r="L158" s="5">
        <v>149.9</v>
      </c>
      <c r="M158" s="9" t="s">
        <v>42</v>
      </c>
      <c r="N158" s="9" t="s">
        <v>35</v>
      </c>
      <c r="O158" s="9" t="s">
        <v>30</v>
      </c>
    </row>
    <row r="159" spans="1:15" x14ac:dyDescent="0.3">
      <c r="A159" s="9" t="s">
        <v>425</v>
      </c>
      <c r="B159" s="10">
        <v>50456</v>
      </c>
      <c r="C159" s="9" t="s">
        <v>188</v>
      </c>
      <c r="D159" s="9" t="str">
        <f>PROPER(E159)</f>
        <v>Germany</v>
      </c>
      <c r="E159" s="9" t="s">
        <v>207</v>
      </c>
      <c r="F159" s="9" t="s">
        <v>54</v>
      </c>
      <c r="G159" s="9" t="s">
        <v>41</v>
      </c>
      <c r="H159" s="9">
        <v>18</v>
      </c>
      <c r="I159" s="5">
        <v>24.61</v>
      </c>
      <c r="J159" s="5">
        <v>442.98</v>
      </c>
      <c r="K159" s="5">
        <v>26.99</v>
      </c>
      <c r="L159" s="5">
        <v>55.99</v>
      </c>
      <c r="M159" s="9" t="s">
        <v>42</v>
      </c>
      <c r="N159" s="9" t="s">
        <v>21</v>
      </c>
      <c r="O159" s="9" t="s">
        <v>30</v>
      </c>
    </row>
    <row r="160" spans="1:15" x14ac:dyDescent="0.3">
      <c r="A160" s="9" t="s">
        <v>426</v>
      </c>
      <c r="B160" s="10">
        <v>50484</v>
      </c>
      <c r="C160" s="9" t="s">
        <v>120</v>
      </c>
      <c r="D160" s="9" t="str">
        <f>PROPER(E160)</f>
        <v>Singapore</v>
      </c>
      <c r="E160" s="9" t="s">
        <v>82</v>
      </c>
      <c r="F160" s="9" t="s">
        <v>48</v>
      </c>
      <c r="G160" s="9" t="s">
        <v>49</v>
      </c>
      <c r="H160" s="9">
        <v>18</v>
      </c>
      <c r="I160" s="5">
        <v>64.83</v>
      </c>
      <c r="J160" s="5">
        <v>1166.94</v>
      </c>
      <c r="K160" s="5">
        <v>34.28</v>
      </c>
      <c r="L160" s="5">
        <v>412.66</v>
      </c>
      <c r="M160" s="9" t="s">
        <v>42</v>
      </c>
      <c r="N160" s="9" t="s">
        <v>21</v>
      </c>
      <c r="O160" s="9" t="s">
        <v>66</v>
      </c>
    </row>
    <row r="161" spans="1:15" x14ac:dyDescent="0.3">
      <c r="A161" s="9" t="s">
        <v>428</v>
      </c>
      <c r="B161" s="10">
        <v>50515</v>
      </c>
      <c r="C161" s="9" t="s">
        <v>429</v>
      </c>
      <c r="D161" s="9" t="str">
        <f>PROPER(E161)</f>
        <v>Mexico</v>
      </c>
      <c r="E161" s="9" t="s">
        <v>53</v>
      </c>
      <c r="F161" s="9" t="s">
        <v>54</v>
      </c>
      <c r="G161" s="9" t="s">
        <v>41</v>
      </c>
      <c r="H161" s="9">
        <v>49</v>
      </c>
      <c r="I161" s="5">
        <v>29.52</v>
      </c>
      <c r="J161" s="5">
        <v>1446.48</v>
      </c>
      <c r="K161" s="5">
        <v>104.7</v>
      </c>
      <c r="L161" s="5">
        <v>361.78</v>
      </c>
      <c r="M161" s="9" t="s">
        <v>42</v>
      </c>
      <c r="N161" s="9" t="s">
        <v>35</v>
      </c>
      <c r="O161" s="9" t="s">
        <v>22</v>
      </c>
    </row>
    <row r="162" spans="1:15" x14ac:dyDescent="0.3">
      <c r="A162" s="9" t="s">
        <v>430</v>
      </c>
      <c r="B162" s="10">
        <v>50545</v>
      </c>
      <c r="C162" s="9" t="s">
        <v>432</v>
      </c>
      <c r="D162" s="9" t="str">
        <f>PROPER(E162)</f>
        <v>South Africa</v>
      </c>
      <c r="E162" s="9" t="s">
        <v>107</v>
      </c>
      <c r="F162" s="9" t="s">
        <v>54</v>
      </c>
      <c r="G162" s="9" t="s">
        <v>41</v>
      </c>
      <c r="H162" s="9">
        <v>10</v>
      </c>
      <c r="I162" s="5">
        <v>26.73</v>
      </c>
      <c r="J162" s="5">
        <v>267.3</v>
      </c>
      <c r="K162" s="5">
        <v>10.210000000000001</v>
      </c>
      <c r="L162" s="5">
        <v>57.09</v>
      </c>
      <c r="M162" s="9" t="s">
        <v>42</v>
      </c>
      <c r="N162" s="9" t="s">
        <v>35</v>
      </c>
      <c r="O162" s="9" t="s">
        <v>108</v>
      </c>
    </row>
    <row r="163" spans="1:15" x14ac:dyDescent="0.3">
      <c r="A163" s="9" t="s">
        <v>433</v>
      </c>
      <c r="B163" s="10">
        <v>50576</v>
      </c>
      <c r="C163" s="9" t="s">
        <v>72</v>
      </c>
      <c r="D163" s="9" t="str">
        <f>PROPER(E163)</f>
        <v>Uk</v>
      </c>
      <c r="E163" s="9" t="s">
        <v>26</v>
      </c>
      <c r="F163" s="9" t="s">
        <v>40</v>
      </c>
      <c r="G163" s="9" t="s">
        <v>41</v>
      </c>
      <c r="H163" s="9">
        <v>10</v>
      </c>
      <c r="I163" s="5">
        <v>54.45</v>
      </c>
      <c r="J163" s="5">
        <v>544.5</v>
      </c>
      <c r="K163" s="5">
        <v>16.59</v>
      </c>
      <c r="L163" s="5">
        <v>207.91</v>
      </c>
      <c r="M163" s="9" t="s">
        <v>20</v>
      </c>
      <c r="N163" s="9" t="s">
        <v>21</v>
      </c>
      <c r="O163" s="9" t="s">
        <v>30</v>
      </c>
    </row>
    <row r="164" spans="1:15" x14ac:dyDescent="0.3">
      <c r="A164" s="9" t="s">
        <v>435</v>
      </c>
      <c r="B164" s="10">
        <v>50606</v>
      </c>
      <c r="C164" s="9" t="s">
        <v>72</v>
      </c>
      <c r="D164" s="9" t="str">
        <f>PROPER(E164)</f>
        <v>India</v>
      </c>
      <c r="E164" s="9" t="s">
        <v>249</v>
      </c>
      <c r="F164" s="9" t="s">
        <v>27</v>
      </c>
      <c r="G164" s="9" t="s">
        <v>19</v>
      </c>
      <c r="H164" s="9">
        <v>46</v>
      </c>
      <c r="I164" s="5">
        <v>30.06</v>
      </c>
      <c r="J164" s="5">
        <v>1382.76</v>
      </c>
      <c r="K164" s="5">
        <v>77.17</v>
      </c>
      <c r="L164" s="5">
        <v>477.59</v>
      </c>
      <c r="M164" s="9" t="s">
        <v>28</v>
      </c>
      <c r="N164" s="9" t="s">
        <v>29</v>
      </c>
      <c r="O164" s="9" t="s">
        <v>66</v>
      </c>
    </row>
    <row r="165" spans="1:15" x14ac:dyDescent="0.3">
      <c r="A165" s="9" t="s">
        <v>437</v>
      </c>
      <c r="B165" s="10">
        <v>50637</v>
      </c>
      <c r="C165" s="9" t="s">
        <v>438</v>
      </c>
      <c r="D165" s="9" t="str">
        <f>PROPER(E165)</f>
        <v>Mexico</v>
      </c>
      <c r="E165" s="9" t="s">
        <v>53</v>
      </c>
      <c r="F165" s="9" t="s">
        <v>69</v>
      </c>
      <c r="G165" s="9" t="s">
        <v>59</v>
      </c>
      <c r="H165" s="9">
        <v>25</v>
      </c>
      <c r="I165" s="5">
        <v>21.52</v>
      </c>
      <c r="J165" s="5">
        <v>538</v>
      </c>
      <c r="K165" s="5">
        <v>26.73</v>
      </c>
      <c r="L165" s="5">
        <v>123.77</v>
      </c>
      <c r="M165" s="9" t="s">
        <v>28</v>
      </c>
      <c r="N165" s="9" t="s">
        <v>21</v>
      </c>
      <c r="O165" s="9" t="s">
        <v>22</v>
      </c>
    </row>
    <row r="166" spans="1:15" x14ac:dyDescent="0.3">
      <c r="A166" s="9" t="s">
        <v>439</v>
      </c>
      <c r="B166" s="10">
        <v>50668</v>
      </c>
      <c r="C166" s="9" t="s">
        <v>301</v>
      </c>
      <c r="D166" s="9" t="str">
        <f>PROPER(E166)</f>
        <v>India</v>
      </c>
      <c r="E166" s="9" t="s">
        <v>249</v>
      </c>
      <c r="F166" s="9" t="s">
        <v>27</v>
      </c>
      <c r="G166" s="9" t="s">
        <v>19</v>
      </c>
      <c r="H166" s="9">
        <v>5</v>
      </c>
      <c r="I166" s="5">
        <v>26.25</v>
      </c>
      <c r="J166" s="5">
        <v>131.25</v>
      </c>
      <c r="K166" s="5">
        <v>3.35</v>
      </c>
      <c r="L166" s="5">
        <v>37.9</v>
      </c>
      <c r="M166" s="9" t="s">
        <v>28</v>
      </c>
      <c r="N166" s="9" t="s">
        <v>29</v>
      </c>
      <c r="O166" s="9" t="s">
        <v>66</v>
      </c>
    </row>
    <row r="167" spans="1:15" x14ac:dyDescent="0.3">
      <c r="A167" s="9" t="s">
        <v>441</v>
      </c>
      <c r="B167" s="10">
        <v>50698</v>
      </c>
      <c r="C167" s="9" t="s">
        <v>442</v>
      </c>
      <c r="D167" s="9" t="str">
        <f>PROPER(E167)</f>
        <v>Uk</v>
      </c>
      <c r="E167" s="9" t="s">
        <v>26</v>
      </c>
      <c r="F167" s="9" t="s">
        <v>64</v>
      </c>
      <c r="G167" s="9" t="s">
        <v>65</v>
      </c>
      <c r="H167" s="9">
        <v>10</v>
      </c>
      <c r="I167" s="5">
        <v>31.48</v>
      </c>
      <c r="J167" s="5">
        <v>314.8</v>
      </c>
      <c r="K167" s="5">
        <v>10.23</v>
      </c>
      <c r="L167" s="5">
        <v>54.57</v>
      </c>
      <c r="M167" s="9" t="s">
        <v>42</v>
      </c>
      <c r="N167" s="9" t="s">
        <v>35</v>
      </c>
      <c r="O167" s="9" t="s">
        <v>30</v>
      </c>
    </row>
    <row r="168" spans="1:15" x14ac:dyDescent="0.3">
      <c r="A168" s="9" t="s">
        <v>443</v>
      </c>
      <c r="B168" s="10">
        <v>50729</v>
      </c>
      <c r="C168" s="9" t="s">
        <v>143</v>
      </c>
      <c r="D168" s="9" t="str">
        <f>PROPER(E168)</f>
        <v>Brazil</v>
      </c>
      <c r="E168" s="9" t="s">
        <v>39</v>
      </c>
      <c r="F168" s="9" t="s">
        <v>54</v>
      </c>
      <c r="G168" s="9" t="s">
        <v>41</v>
      </c>
      <c r="H168" s="9">
        <v>21</v>
      </c>
      <c r="I168" s="5">
        <v>30.91</v>
      </c>
      <c r="J168" s="5">
        <v>649.11</v>
      </c>
      <c r="K168" s="5">
        <v>38.42</v>
      </c>
      <c r="L168" s="5">
        <v>190.69</v>
      </c>
      <c r="M168" s="9" t="s">
        <v>28</v>
      </c>
      <c r="N168" s="9" t="s">
        <v>35</v>
      </c>
      <c r="O168" s="9" t="s">
        <v>43</v>
      </c>
    </row>
    <row r="169" spans="1:15" x14ac:dyDescent="0.3">
      <c r="A169" s="9" t="s">
        <v>445</v>
      </c>
      <c r="B169" s="10">
        <v>50759</v>
      </c>
      <c r="C169" s="9" t="s">
        <v>447</v>
      </c>
      <c r="D169" s="9" t="str">
        <f>PROPER(E169)</f>
        <v>Singapore</v>
      </c>
      <c r="E169" s="9" t="s">
        <v>82</v>
      </c>
      <c r="F169" s="9" t="s">
        <v>73</v>
      </c>
      <c r="G169" s="9" t="s">
        <v>41</v>
      </c>
      <c r="H169" s="9">
        <v>29</v>
      </c>
      <c r="I169" s="5">
        <v>18.47</v>
      </c>
      <c r="J169" s="5">
        <v>535.63</v>
      </c>
      <c r="K169" s="5">
        <v>13.21</v>
      </c>
      <c r="L169" s="5">
        <v>152.66999999999999</v>
      </c>
      <c r="M169" s="9" t="s">
        <v>20</v>
      </c>
      <c r="N169" s="9" t="s">
        <v>21</v>
      </c>
      <c r="O169" s="9" t="s">
        <v>66</v>
      </c>
    </row>
    <row r="170" spans="1:15" x14ac:dyDescent="0.3">
      <c r="A170" s="9" t="s">
        <v>448</v>
      </c>
      <c r="B170" s="10">
        <v>50790</v>
      </c>
      <c r="C170" s="9" t="s">
        <v>151</v>
      </c>
      <c r="D170" s="9" t="str">
        <f>PROPER(E170)</f>
        <v>Mexico</v>
      </c>
      <c r="E170" s="9" t="s">
        <v>53</v>
      </c>
      <c r="F170" s="9" t="s">
        <v>18</v>
      </c>
      <c r="G170" s="9" t="s">
        <v>19</v>
      </c>
      <c r="H170" s="9">
        <v>36</v>
      </c>
      <c r="I170" s="5">
        <v>44.79</v>
      </c>
      <c r="J170" s="5">
        <v>1612.44</v>
      </c>
      <c r="K170" s="5">
        <v>68.599999999999994</v>
      </c>
      <c r="L170" s="5">
        <v>283.83999999999997</v>
      </c>
      <c r="M170" s="9" t="s">
        <v>42</v>
      </c>
      <c r="N170" s="9" t="s">
        <v>29</v>
      </c>
      <c r="O170" s="9" t="s">
        <v>22</v>
      </c>
    </row>
    <row r="171" spans="1:15" x14ac:dyDescent="0.3">
      <c r="A171" s="9" t="s">
        <v>450</v>
      </c>
      <c r="B171" s="10">
        <v>50821</v>
      </c>
      <c r="C171" s="9" t="s">
        <v>452</v>
      </c>
      <c r="D171" s="9" t="str">
        <f>PROPER(E171)</f>
        <v>Brazil</v>
      </c>
      <c r="E171" s="9" t="s">
        <v>39</v>
      </c>
      <c r="F171" s="9" t="s">
        <v>69</v>
      </c>
      <c r="G171" s="9" t="s">
        <v>59</v>
      </c>
      <c r="H171" s="9">
        <v>3</v>
      </c>
      <c r="I171" s="5">
        <v>18.86</v>
      </c>
      <c r="J171" s="5">
        <v>56.58</v>
      </c>
      <c r="K171" s="5">
        <v>2.61</v>
      </c>
      <c r="L171" s="5">
        <v>7.47</v>
      </c>
      <c r="M171" s="9" t="s">
        <v>28</v>
      </c>
      <c r="N171" s="9" t="s">
        <v>35</v>
      </c>
      <c r="O171" s="9" t="s">
        <v>43</v>
      </c>
    </row>
    <row r="172" spans="1:15" x14ac:dyDescent="0.3">
      <c r="A172" s="9" t="s">
        <v>453</v>
      </c>
      <c r="B172" s="10">
        <v>50849</v>
      </c>
      <c r="C172" s="9" t="s">
        <v>57</v>
      </c>
      <c r="D172" s="9" t="str">
        <f>PROPER(E172)</f>
        <v>China</v>
      </c>
      <c r="E172" s="9" t="s">
        <v>63</v>
      </c>
      <c r="F172" s="9" t="s">
        <v>103</v>
      </c>
      <c r="G172" s="9" t="s">
        <v>59</v>
      </c>
      <c r="H172" s="9">
        <v>10</v>
      </c>
      <c r="I172" s="5">
        <v>45.86</v>
      </c>
      <c r="J172" s="5">
        <v>458.6</v>
      </c>
      <c r="K172" s="5">
        <v>14.4</v>
      </c>
      <c r="L172" s="5">
        <v>164.2</v>
      </c>
      <c r="M172" s="9" t="s">
        <v>42</v>
      </c>
      <c r="N172" s="9" t="s">
        <v>21</v>
      </c>
      <c r="O172" s="9" t="s">
        <v>66</v>
      </c>
    </row>
    <row r="173" spans="1:15" x14ac:dyDescent="0.3">
      <c r="A173" s="9" t="s">
        <v>454</v>
      </c>
      <c r="B173" s="10">
        <v>50880</v>
      </c>
      <c r="C173" s="9" t="s">
        <v>452</v>
      </c>
      <c r="D173" s="9" t="str">
        <f>PROPER(E173)</f>
        <v>Italy</v>
      </c>
      <c r="E173" s="9" t="s">
        <v>34</v>
      </c>
      <c r="F173" s="9" t="s">
        <v>27</v>
      </c>
      <c r="G173" s="9" t="s">
        <v>19</v>
      </c>
      <c r="H173" s="9">
        <v>1</v>
      </c>
      <c r="I173" s="5">
        <v>24.64</v>
      </c>
      <c r="J173" s="5">
        <v>24.64</v>
      </c>
      <c r="K173" s="5">
        <v>0.65</v>
      </c>
      <c r="L173" s="5">
        <v>5.99</v>
      </c>
      <c r="M173" s="9" t="s">
        <v>42</v>
      </c>
      <c r="N173" s="9" t="s">
        <v>29</v>
      </c>
      <c r="O173" s="9" t="s">
        <v>30</v>
      </c>
    </row>
    <row r="174" spans="1:15" x14ac:dyDescent="0.3">
      <c r="A174" s="9" t="s">
        <v>456</v>
      </c>
      <c r="B174" s="10">
        <v>50910</v>
      </c>
      <c r="C174" s="9" t="s">
        <v>212</v>
      </c>
      <c r="D174" s="9" t="str">
        <f>PROPER(E174)</f>
        <v>Italy</v>
      </c>
      <c r="E174" s="9" t="s">
        <v>34</v>
      </c>
      <c r="F174" s="9" t="s">
        <v>69</v>
      </c>
      <c r="G174" s="9" t="s">
        <v>59</v>
      </c>
      <c r="H174" s="9">
        <v>49</v>
      </c>
      <c r="I174" s="5">
        <v>22.8</v>
      </c>
      <c r="J174" s="5">
        <v>1117.2</v>
      </c>
      <c r="K174" s="5">
        <v>51.06</v>
      </c>
      <c r="L174" s="5">
        <v>306.64</v>
      </c>
      <c r="M174" s="9" t="s">
        <v>20</v>
      </c>
      <c r="N174" s="9" t="s">
        <v>29</v>
      </c>
      <c r="O174" s="9" t="s">
        <v>30</v>
      </c>
    </row>
    <row r="175" spans="1:15" x14ac:dyDescent="0.3">
      <c r="A175" s="9" t="s">
        <v>457</v>
      </c>
      <c r="B175" s="10">
        <v>50941</v>
      </c>
      <c r="C175" s="9" t="s">
        <v>274</v>
      </c>
      <c r="D175" s="9" t="str">
        <f>PROPER(E175)</f>
        <v>Mexico</v>
      </c>
      <c r="E175" s="9" t="s">
        <v>53</v>
      </c>
      <c r="F175" s="9" t="s">
        <v>18</v>
      </c>
      <c r="G175" s="9" t="s">
        <v>19</v>
      </c>
      <c r="H175" s="9">
        <v>32</v>
      </c>
      <c r="I175" s="5">
        <v>44.5</v>
      </c>
      <c r="J175" s="5">
        <v>1424</v>
      </c>
      <c r="K175" s="5">
        <v>43.92</v>
      </c>
      <c r="L175" s="5">
        <v>260.08</v>
      </c>
      <c r="M175" s="9" t="s">
        <v>42</v>
      </c>
      <c r="N175" s="9" t="s">
        <v>29</v>
      </c>
      <c r="O175" s="9" t="s">
        <v>22</v>
      </c>
    </row>
    <row r="176" spans="1:15" x14ac:dyDescent="0.3">
      <c r="A176" s="9" t="s">
        <v>459</v>
      </c>
      <c r="B176" s="10">
        <v>50971</v>
      </c>
      <c r="C176" s="9" t="s">
        <v>298</v>
      </c>
      <c r="D176" s="9" t="str">
        <f>PROPER(E176)</f>
        <v>Brazil</v>
      </c>
      <c r="E176" s="9" t="s">
        <v>39</v>
      </c>
      <c r="F176" s="9" t="s">
        <v>18</v>
      </c>
      <c r="G176" s="9" t="s">
        <v>19</v>
      </c>
      <c r="H176" s="9">
        <v>43</v>
      </c>
      <c r="I176" s="5">
        <v>55.74</v>
      </c>
      <c r="J176" s="5">
        <v>2396.8200000000002</v>
      </c>
      <c r="K176" s="5">
        <v>63.85</v>
      </c>
      <c r="L176" s="5">
        <v>827.97</v>
      </c>
      <c r="M176" s="9" t="s">
        <v>28</v>
      </c>
      <c r="N176" s="9" t="s">
        <v>35</v>
      </c>
      <c r="O176" s="9" t="s">
        <v>43</v>
      </c>
    </row>
    <row r="177" spans="1:15" x14ac:dyDescent="0.3">
      <c r="A177" s="9" t="s">
        <v>461</v>
      </c>
      <c r="B177" s="10">
        <v>51002</v>
      </c>
      <c r="C177" s="9" t="s">
        <v>136</v>
      </c>
      <c r="D177" s="9" t="str">
        <f>PROPER(E177)</f>
        <v>Singapore</v>
      </c>
      <c r="E177" s="9" t="s">
        <v>82</v>
      </c>
      <c r="F177" s="9" t="s">
        <v>69</v>
      </c>
      <c r="G177" s="9" t="s">
        <v>59</v>
      </c>
      <c r="H177" s="9">
        <v>19</v>
      </c>
      <c r="I177" s="5">
        <v>25.78</v>
      </c>
      <c r="J177" s="5">
        <v>489.82</v>
      </c>
      <c r="K177" s="5">
        <v>28.4</v>
      </c>
      <c r="L177" s="5">
        <v>166.92</v>
      </c>
      <c r="M177" s="9" t="s">
        <v>42</v>
      </c>
      <c r="N177" s="9" t="s">
        <v>29</v>
      </c>
      <c r="O177" s="9" t="s">
        <v>66</v>
      </c>
    </row>
    <row r="178" spans="1:15" x14ac:dyDescent="0.3">
      <c r="A178" s="9" t="s">
        <v>463</v>
      </c>
      <c r="B178" s="10">
        <v>51033</v>
      </c>
      <c r="C178" s="9" t="s">
        <v>358</v>
      </c>
      <c r="D178" s="9" t="str">
        <f>PROPER(E178)</f>
        <v>Mexico</v>
      </c>
      <c r="E178" s="9" t="s">
        <v>53</v>
      </c>
      <c r="F178" s="9" t="s">
        <v>27</v>
      </c>
      <c r="G178" s="9" t="s">
        <v>19</v>
      </c>
      <c r="H178" s="9">
        <v>43</v>
      </c>
      <c r="I178" s="5">
        <v>30.43</v>
      </c>
      <c r="J178" s="5">
        <v>1308.49</v>
      </c>
      <c r="K178" s="5">
        <v>35.340000000000003</v>
      </c>
      <c r="L178" s="5">
        <v>499.15</v>
      </c>
      <c r="M178" s="9" t="s">
        <v>28</v>
      </c>
      <c r="N178" s="9" t="s">
        <v>29</v>
      </c>
      <c r="O178" s="9" t="s">
        <v>22</v>
      </c>
    </row>
    <row r="179" spans="1:15" x14ac:dyDescent="0.3">
      <c r="A179" s="9" t="s">
        <v>465</v>
      </c>
      <c r="B179" s="10">
        <v>51063</v>
      </c>
      <c r="C179" s="9" t="s">
        <v>466</v>
      </c>
      <c r="D179" s="9" t="str">
        <f>PROPER(E179)</f>
        <v>France</v>
      </c>
      <c r="E179" s="9" t="s">
        <v>137</v>
      </c>
      <c r="F179" s="9" t="s">
        <v>69</v>
      </c>
      <c r="G179" s="9" t="s">
        <v>59</v>
      </c>
      <c r="H179" s="9">
        <v>17</v>
      </c>
      <c r="I179" s="5">
        <v>18.71</v>
      </c>
      <c r="J179" s="5">
        <v>318.07</v>
      </c>
      <c r="K179" s="5">
        <v>22.03</v>
      </c>
      <c r="L179" s="5">
        <v>32.54</v>
      </c>
      <c r="M179" s="9" t="s">
        <v>42</v>
      </c>
      <c r="N179" s="9" t="s">
        <v>21</v>
      </c>
      <c r="O179" s="9" t="s">
        <v>30</v>
      </c>
    </row>
    <row r="180" spans="1:15" x14ac:dyDescent="0.3">
      <c r="A180" s="9" t="s">
        <v>467</v>
      </c>
      <c r="B180" s="10">
        <v>51094</v>
      </c>
      <c r="C180" s="9" t="s">
        <v>46</v>
      </c>
      <c r="D180" s="9" t="str">
        <f>PROPER(E180)</f>
        <v>China</v>
      </c>
      <c r="E180" s="9" t="s">
        <v>63</v>
      </c>
      <c r="F180" s="9" t="s">
        <v>69</v>
      </c>
      <c r="G180" s="9" t="s">
        <v>59</v>
      </c>
      <c r="H180" s="9">
        <v>44</v>
      </c>
      <c r="I180" s="5">
        <v>23.87</v>
      </c>
      <c r="J180" s="5">
        <v>1050.28</v>
      </c>
      <c r="K180" s="5">
        <v>33.51</v>
      </c>
      <c r="L180" s="5">
        <v>334.77</v>
      </c>
      <c r="M180" s="9" t="s">
        <v>20</v>
      </c>
      <c r="N180" s="9" t="s">
        <v>29</v>
      </c>
      <c r="O180" s="9" t="s">
        <v>66</v>
      </c>
    </row>
    <row r="181" spans="1:15" x14ac:dyDescent="0.3">
      <c r="A181" s="9" t="s">
        <v>468</v>
      </c>
      <c r="B181" s="10">
        <v>51124</v>
      </c>
      <c r="C181" s="9" t="s">
        <v>160</v>
      </c>
      <c r="D181" s="9" t="str">
        <f>PROPER(E181)</f>
        <v>Australia</v>
      </c>
      <c r="E181" s="9" t="s">
        <v>172</v>
      </c>
      <c r="F181" s="9" t="s">
        <v>40</v>
      </c>
      <c r="G181" s="9" t="s">
        <v>41</v>
      </c>
      <c r="H181" s="9">
        <v>12</v>
      </c>
      <c r="I181" s="5">
        <v>42.91</v>
      </c>
      <c r="J181" s="5">
        <v>514.91999999999996</v>
      </c>
      <c r="K181" s="5">
        <v>15.18</v>
      </c>
      <c r="L181" s="5">
        <v>115.74</v>
      </c>
      <c r="M181" s="9" t="s">
        <v>42</v>
      </c>
      <c r="N181" s="9" t="s">
        <v>35</v>
      </c>
      <c r="O181" s="9" t="s">
        <v>173</v>
      </c>
    </row>
    <row r="182" spans="1:15" x14ac:dyDescent="0.3">
      <c r="A182" s="9" t="s">
        <v>470</v>
      </c>
      <c r="B182" s="10">
        <v>51155</v>
      </c>
      <c r="C182" s="9" t="s">
        <v>472</v>
      </c>
      <c r="D182" s="9" t="str">
        <f>PROPER(E182)</f>
        <v>India</v>
      </c>
      <c r="E182" s="9" t="s">
        <v>249</v>
      </c>
      <c r="F182" s="9" t="s">
        <v>48</v>
      </c>
      <c r="G182" s="9" t="s">
        <v>49</v>
      </c>
      <c r="H182" s="9">
        <v>21</v>
      </c>
      <c r="I182" s="5">
        <v>50.49</v>
      </c>
      <c r="J182" s="5">
        <v>1060.29</v>
      </c>
      <c r="K182" s="5">
        <v>32.340000000000003</v>
      </c>
      <c r="L182" s="5">
        <v>187.95</v>
      </c>
      <c r="M182" s="9" t="s">
        <v>42</v>
      </c>
      <c r="N182" s="9" t="s">
        <v>21</v>
      </c>
      <c r="O182" s="9" t="s">
        <v>66</v>
      </c>
    </row>
    <row r="183" spans="1:15" x14ac:dyDescent="0.3">
      <c r="A183" s="9" t="s">
        <v>473</v>
      </c>
      <c r="B183" s="10">
        <v>51186</v>
      </c>
      <c r="C183" s="9" t="s">
        <v>274</v>
      </c>
      <c r="D183" s="9" t="str">
        <f>PROPER(E183)</f>
        <v>Italy</v>
      </c>
      <c r="E183" s="9" t="s">
        <v>34</v>
      </c>
      <c r="F183" s="9" t="s">
        <v>18</v>
      </c>
      <c r="G183" s="9" t="s">
        <v>19</v>
      </c>
      <c r="H183" s="9">
        <v>41</v>
      </c>
      <c r="I183" s="5">
        <v>43.18</v>
      </c>
      <c r="J183" s="5">
        <v>1770.38</v>
      </c>
      <c r="K183" s="5">
        <v>128.4</v>
      </c>
      <c r="L183" s="5">
        <v>206.98</v>
      </c>
      <c r="M183" s="9" t="s">
        <v>28</v>
      </c>
      <c r="N183" s="9" t="s">
        <v>35</v>
      </c>
      <c r="O183" s="9" t="s">
        <v>30</v>
      </c>
    </row>
    <row r="184" spans="1:15" x14ac:dyDescent="0.3">
      <c r="A184" s="9" t="s">
        <v>474</v>
      </c>
      <c r="B184" s="10">
        <v>51215</v>
      </c>
      <c r="C184" s="9" t="s">
        <v>128</v>
      </c>
      <c r="D184" s="9" t="str">
        <f>PROPER(E184)</f>
        <v>Australia</v>
      </c>
      <c r="E184" s="9" t="s">
        <v>172</v>
      </c>
      <c r="F184" s="9" t="s">
        <v>73</v>
      </c>
      <c r="G184" s="9" t="s">
        <v>41</v>
      </c>
      <c r="H184" s="9">
        <v>37</v>
      </c>
      <c r="I184" s="5">
        <v>19.8</v>
      </c>
      <c r="J184" s="5">
        <v>732.6</v>
      </c>
      <c r="K184" s="5">
        <v>54.68</v>
      </c>
      <c r="L184" s="5">
        <v>206.17</v>
      </c>
      <c r="M184" s="9" t="s">
        <v>20</v>
      </c>
      <c r="N184" s="9" t="s">
        <v>29</v>
      </c>
      <c r="O184" s="9" t="s">
        <v>173</v>
      </c>
    </row>
    <row r="185" spans="1:15" x14ac:dyDescent="0.3">
      <c r="A185" s="9" t="s">
        <v>476</v>
      </c>
      <c r="B185" s="10">
        <v>51246</v>
      </c>
      <c r="C185" s="9" t="s">
        <v>478</v>
      </c>
      <c r="D185" s="9" t="str">
        <f>PROPER(E185)</f>
        <v>Mexico</v>
      </c>
      <c r="E185" s="9" t="s">
        <v>53</v>
      </c>
      <c r="F185" s="9" t="s">
        <v>73</v>
      </c>
      <c r="G185" s="9" t="s">
        <v>41</v>
      </c>
      <c r="H185" s="9">
        <v>4</v>
      </c>
      <c r="I185" s="5">
        <v>18.059999999999999</v>
      </c>
      <c r="J185" s="5">
        <v>72.239999999999995</v>
      </c>
      <c r="K185" s="5">
        <v>4.66</v>
      </c>
      <c r="L185" s="5">
        <v>16.579999999999998</v>
      </c>
      <c r="M185" s="9" t="s">
        <v>20</v>
      </c>
      <c r="N185" s="9" t="s">
        <v>21</v>
      </c>
      <c r="O185" s="9" t="s">
        <v>22</v>
      </c>
    </row>
    <row r="186" spans="1:15" x14ac:dyDescent="0.3">
      <c r="A186" s="9" t="s">
        <v>479</v>
      </c>
      <c r="B186" s="10">
        <v>51276</v>
      </c>
      <c r="C186" s="9" t="s">
        <v>358</v>
      </c>
      <c r="D186" s="9" t="str">
        <f>PROPER(E186)</f>
        <v>Usa</v>
      </c>
      <c r="E186" s="9" t="s">
        <v>17</v>
      </c>
      <c r="F186" s="9" t="s">
        <v>18</v>
      </c>
      <c r="G186" s="9" t="s">
        <v>19</v>
      </c>
      <c r="H186" s="9">
        <v>40</v>
      </c>
      <c r="I186" s="5">
        <v>55.59</v>
      </c>
      <c r="J186" s="5">
        <v>2223.6</v>
      </c>
      <c r="K186" s="5">
        <v>74.569999999999993</v>
      </c>
      <c r="L186" s="5">
        <v>749.03</v>
      </c>
      <c r="M186" s="9" t="s">
        <v>20</v>
      </c>
      <c r="N186" s="9" t="s">
        <v>21</v>
      </c>
      <c r="O186" s="9" t="s">
        <v>22</v>
      </c>
    </row>
    <row r="187" spans="1:15" x14ac:dyDescent="0.3">
      <c r="A187" s="9" t="s">
        <v>480</v>
      </c>
      <c r="B187" s="10">
        <v>51307</v>
      </c>
      <c r="C187" s="9" t="s">
        <v>16</v>
      </c>
      <c r="D187" s="9" t="str">
        <f>PROPER(E187)</f>
        <v>Japan</v>
      </c>
      <c r="E187" s="9" t="s">
        <v>93</v>
      </c>
      <c r="F187" s="9" t="s">
        <v>64</v>
      </c>
      <c r="G187" s="9" t="s">
        <v>65</v>
      </c>
      <c r="H187" s="9">
        <v>5</v>
      </c>
      <c r="I187" s="5">
        <v>31.58</v>
      </c>
      <c r="J187" s="5">
        <v>157.9</v>
      </c>
      <c r="K187" s="5">
        <v>3.73</v>
      </c>
      <c r="L187" s="5">
        <v>29.17</v>
      </c>
      <c r="M187" s="9" t="s">
        <v>20</v>
      </c>
      <c r="N187" s="9" t="s">
        <v>29</v>
      </c>
      <c r="O187" s="9" t="s">
        <v>66</v>
      </c>
    </row>
    <row r="188" spans="1:15" x14ac:dyDescent="0.3">
      <c r="A188" s="9" t="s">
        <v>481</v>
      </c>
      <c r="B188" s="10">
        <v>51337</v>
      </c>
      <c r="C188" s="9" t="s">
        <v>154</v>
      </c>
      <c r="D188" s="9" t="str">
        <f>PROPER(E188)</f>
        <v>Canada</v>
      </c>
      <c r="E188" s="9" t="s">
        <v>47</v>
      </c>
      <c r="F188" s="9" t="s">
        <v>27</v>
      </c>
      <c r="G188" s="9" t="s">
        <v>19</v>
      </c>
      <c r="H188" s="9">
        <v>50</v>
      </c>
      <c r="I188" s="5">
        <v>26.67</v>
      </c>
      <c r="J188" s="5">
        <v>1333.5</v>
      </c>
      <c r="K188" s="5">
        <v>80.150000000000006</v>
      </c>
      <c r="L188" s="5">
        <v>353.35</v>
      </c>
      <c r="M188" s="9" t="s">
        <v>42</v>
      </c>
      <c r="N188" s="9" t="s">
        <v>21</v>
      </c>
      <c r="O188" s="9" t="s">
        <v>22</v>
      </c>
    </row>
    <row r="189" spans="1:15" x14ac:dyDescent="0.3">
      <c r="A189" s="9" t="s">
        <v>483</v>
      </c>
      <c r="B189" s="10">
        <v>51368</v>
      </c>
      <c r="C189" s="9" t="s">
        <v>319</v>
      </c>
      <c r="D189" s="9" t="str">
        <f>PROPER(E189)</f>
        <v>Singapore</v>
      </c>
      <c r="E189" s="9" t="s">
        <v>82</v>
      </c>
      <c r="F189" s="9" t="s">
        <v>69</v>
      </c>
      <c r="G189" s="9" t="s">
        <v>59</v>
      </c>
      <c r="H189" s="9">
        <v>17</v>
      </c>
      <c r="I189" s="5">
        <v>20.68</v>
      </c>
      <c r="J189" s="5">
        <v>351.56</v>
      </c>
      <c r="K189" s="5">
        <v>18.47</v>
      </c>
      <c r="L189" s="5">
        <v>69.59</v>
      </c>
      <c r="M189" s="9" t="s">
        <v>42</v>
      </c>
      <c r="N189" s="9" t="s">
        <v>29</v>
      </c>
      <c r="O189" s="9" t="s">
        <v>66</v>
      </c>
    </row>
    <row r="190" spans="1:15" x14ac:dyDescent="0.3">
      <c r="A190" s="9" t="s">
        <v>485</v>
      </c>
      <c r="B190" s="10">
        <v>51399</v>
      </c>
      <c r="C190" s="9" t="s">
        <v>407</v>
      </c>
      <c r="D190" s="9" t="str">
        <f>PROPER(E190)</f>
        <v>South Africa</v>
      </c>
      <c r="E190" s="9" t="s">
        <v>107</v>
      </c>
      <c r="F190" s="9" t="s">
        <v>18</v>
      </c>
      <c r="G190" s="9" t="s">
        <v>19</v>
      </c>
      <c r="H190" s="9">
        <v>29</v>
      </c>
      <c r="I190" s="5">
        <v>55.19</v>
      </c>
      <c r="J190" s="5">
        <v>1600.51</v>
      </c>
      <c r="K190" s="5">
        <v>103.06</v>
      </c>
      <c r="L190" s="5">
        <v>482.45</v>
      </c>
      <c r="M190" s="9" t="s">
        <v>20</v>
      </c>
      <c r="N190" s="9" t="s">
        <v>35</v>
      </c>
      <c r="O190" s="9" t="s">
        <v>108</v>
      </c>
    </row>
    <row r="191" spans="1:15" x14ac:dyDescent="0.3">
      <c r="A191" s="9" t="s">
        <v>486</v>
      </c>
      <c r="B191" s="10">
        <v>51429</v>
      </c>
      <c r="C191" s="9" t="s">
        <v>488</v>
      </c>
      <c r="D191" s="9" t="str">
        <f>PROPER(E191)</f>
        <v>Singapore</v>
      </c>
      <c r="E191" s="9" t="s">
        <v>82</v>
      </c>
      <c r="F191" s="9" t="s">
        <v>18</v>
      </c>
      <c r="G191" s="9" t="s">
        <v>19</v>
      </c>
      <c r="H191" s="9">
        <v>34</v>
      </c>
      <c r="I191" s="5">
        <v>61.62</v>
      </c>
      <c r="J191" s="5">
        <v>2095.08</v>
      </c>
      <c r="K191" s="5">
        <v>80.13</v>
      </c>
      <c r="L191" s="5">
        <v>824.95</v>
      </c>
      <c r="M191" s="9" t="s">
        <v>28</v>
      </c>
      <c r="N191" s="9" t="s">
        <v>21</v>
      </c>
      <c r="O191" s="9" t="s">
        <v>66</v>
      </c>
    </row>
    <row r="192" spans="1:15" x14ac:dyDescent="0.3">
      <c r="A192" s="9" t="s">
        <v>489</v>
      </c>
      <c r="B192" s="10">
        <v>51460</v>
      </c>
      <c r="C192" s="9" t="s">
        <v>243</v>
      </c>
      <c r="D192" s="9" t="str">
        <f>PROPER(E192)</f>
        <v>Mexico</v>
      </c>
      <c r="E192" s="9" t="s">
        <v>53</v>
      </c>
      <c r="F192" s="9" t="s">
        <v>58</v>
      </c>
      <c r="G192" s="9" t="s">
        <v>59</v>
      </c>
      <c r="H192" s="9">
        <v>10</v>
      </c>
      <c r="I192" s="5">
        <v>40.03</v>
      </c>
      <c r="J192" s="5">
        <v>400.3</v>
      </c>
      <c r="K192" s="5">
        <v>25.8</v>
      </c>
      <c r="L192" s="5">
        <v>149.5</v>
      </c>
      <c r="M192" s="9" t="s">
        <v>42</v>
      </c>
      <c r="N192" s="9" t="s">
        <v>21</v>
      </c>
      <c r="O192" s="9" t="s">
        <v>22</v>
      </c>
    </row>
    <row r="193" spans="1:15" x14ac:dyDescent="0.3">
      <c r="A193" s="9" t="s">
        <v>490</v>
      </c>
      <c r="B193" s="10">
        <v>51490</v>
      </c>
      <c r="C193" s="9" t="s">
        <v>100</v>
      </c>
      <c r="D193" s="9" t="str">
        <f>PROPER(E193)</f>
        <v>Uae</v>
      </c>
      <c r="E193" s="9" t="s">
        <v>89</v>
      </c>
      <c r="F193" s="9" t="s">
        <v>54</v>
      </c>
      <c r="G193" s="9" t="s">
        <v>41</v>
      </c>
      <c r="H193" s="9">
        <v>23</v>
      </c>
      <c r="I193" s="5">
        <v>31.3</v>
      </c>
      <c r="J193" s="5">
        <v>719.9</v>
      </c>
      <c r="K193" s="5">
        <v>47.88</v>
      </c>
      <c r="L193" s="5">
        <v>212.02</v>
      </c>
      <c r="M193" s="9" t="s">
        <v>28</v>
      </c>
      <c r="N193" s="9" t="s">
        <v>29</v>
      </c>
      <c r="O193" s="9" t="s">
        <v>66</v>
      </c>
    </row>
    <row r="194" spans="1:15" x14ac:dyDescent="0.3">
      <c r="A194" s="9" t="s">
        <v>492</v>
      </c>
      <c r="B194" s="10">
        <v>51521</v>
      </c>
      <c r="C194" s="9" t="s">
        <v>114</v>
      </c>
      <c r="D194" s="9" t="str">
        <f>PROPER(E194)</f>
        <v>Mexico</v>
      </c>
      <c r="E194" s="9" t="s">
        <v>53</v>
      </c>
      <c r="F194" s="9" t="s">
        <v>18</v>
      </c>
      <c r="G194" s="9" t="s">
        <v>19</v>
      </c>
      <c r="H194" s="9">
        <v>37</v>
      </c>
      <c r="I194" s="5">
        <v>50.39</v>
      </c>
      <c r="J194" s="5">
        <v>1864.43</v>
      </c>
      <c r="K194" s="5">
        <v>60.06</v>
      </c>
      <c r="L194" s="5">
        <v>509.37</v>
      </c>
      <c r="M194" s="9" t="s">
        <v>28</v>
      </c>
      <c r="N194" s="9" t="s">
        <v>29</v>
      </c>
      <c r="O194" s="9" t="s">
        <v>22</v>
      </c>
    </row>
    <row r="195" spans="1:15" x14ac:dyDescent="0.3">
      <c r="A195" s="9" t="s">
        <v>493</v>
      </c>
      <c r="B195" s="10">
        <v>51552</v>
      </c>
      <c r="C195" s="9" t="s">
        <v>409</v>
      </c>
      <c r="D195" s="9" t="str">
        <f>PROPER(E195)</f>
        <v>Usa</v>
      </c>
      <c r="E195" s="9" t="s">
        <v>17</v>
      </c>
      <c r="F195" s="9" t="s">
        <v>73</v>
      </c>
      <c r="G195" s="9" t="s">
        <v>41</v>
      </c>
      <c r="H195" s="9">
        <v>38</v>
      </c>
      <c r="I195" s="5">
        <v>16.97</v>
      </c>
      <c r="J195" s="5">
        <v>644.86</v>
      </c>
      <c r="K195" s="5">
        <v>40</v>
      </c>
      <c r="L195" s="5">
        <v>120.36</v>
      </c>
      <c r="M195" s="9" t="s">
        <v>42</v>
      </c>
      <c r="N195" s="9" t="s">
        <v>21</v>
      </c>
      <c r="O195" s="9" t="s">
        <v>22</v>
      </c>
    </row>
    <row r="196" spans="1:15" x14ac:dyDescent="0.3">
      <c r="A196" s="9" t="s">
        <v>495</v>
      </c>
      <c r="B196" s="10">
        <v>51580</v>
      </c>
      <c r="C196" s="9" t="s">
        <v>295</v>
      </c>
      <c r="D196" s="9" t="str">
        <f>PROPER(E196)</f>
        <v>South Africa</v>
      </c>
      <c r="E196" s="9" t="s">
        <v>107</v>
      </c>
      <c r="F196" s="9" t="s">
        <v>54</v>
      </c>
      <c r="G196" s="9" t="s">
        <v>41</v>
      </c>
      <c r="H196" s="9">
        <v>2</v>
      </c>
      <c r="I196" s="5">
        <v>35.92</v>
      </c>
      <c r="J196" s="5">
        <v>71.84</v>
      </c>
      <c r="K196" s="5">
        <v>2.34</v>
      </c>
      <c r="L196" s="5">
        <v>29.5</v>
      </c>
      <c r="M196" s="9" t="s">
        <v>42</v>
      </c>
      <c r="N196" s="9" t="s">
        <v>29</v>
      </c>
      <c r="O196" s="9" t="s">
        <v>108</v>
      </c>
    </row>
    <row r="197" spans="1:15" x14ac:dyDescent="0.3">
      <c r="A197" s="9" t="s">
        <v>496</v>
      </c>
      <c r="B197" s="10">
        <v>51611</v>
      </c>
      <c r="C197" s="9" t="s">
        <v>72</v>
      </c>
      <c r="D197" s="9" t="str">
        <f>PROPER(E197)</f>
        <v>Brazil</v>
      </c>
      <c r="E197" s="9" t="s">
        <v>39</v>
      </c>
      <c r="F197" s="9" t="s">
        <v>54</v>
      </c>
      <c r="G197" s="9" t="s">
        <v>41</v>
      </c>
      <c r="H197" s="9">
        <v>48</v>
      </c>
      <c r="I197" s="5">
        <v>31.87</v>
      </c>
      <c r="J197" s="5">
        <v>1529.76</v>
      </c>
      <c r="K197" s="5">
        <v>89.85</v>
      </c>
      <c r="L197" s="5">
        <v>479.91</v>
      </c>
      <c r="M197" s="9" t="s">
        <v>42</v>
      </c>
      <c r="N197" s="9" t="s">
        <v>21</v>
      </c>
      <c r="O197" s="9" t="s">
        <v>43</v>
      </c>
    </row>
    <row r="198" spans="1:15" x14ac:dyDescent="0.3">
      <c r="A198" s="9" t="s">
        <v>498</v>
      </c>
      <c r="B198" s="10">
        <v>51641</v>
      </c>
      <c r="C198" s="9" t="s">
        <v>319</v>
      </c>
      <c r="D198" s="9" t="str">
        <f>PROPER(E198)</f>
        <v>Australia</v>
      </c>
      <c r="E198" s="9" t="s">
        <v>172</v>
      </c>
      <c r="F198" s="9" t="s">
        <v>48</v>
      </c>
      <c r="G198" s="9" t="s">
        <v>49</v>
      </c>
      <c r="H198" s="9">
        <v>46</v>
      </c>
      <c r="I198" s="5">
        <v>70</v>
      </c>
      <c r="J198" s="5">
        <v>3220</v>
      </c>
      <c r="K198" s="5">
        <v>160.11000000000001</v>
      </c>
      <c r="L198" s="5">
        <v>1219.8900000000001</v>
      </c>
      <c r="M198" s="9" t="s">
        <v>28</v>
      </c>
      <c r="N198" s="9" t="s">
        <v>29</v>
      </c>
      <c r="O198" s="9" t="s">
        <v>173</v>
      </c>
    </row>
    <row r="199" spans="1:15" x14ac:dyDescent="0.3">
      <c r="A199" s="9" t="s">
        <v>500</v>
      </c>
      <c r="B199" s="10">
        <v>51672</v>
      </c>
      <c r="C199" s="9" t="s">
        <v>447</v>
      </c>
      <c r="D199" s="9" t="str">
        <f>PROPER(E199)</f>
        <v>Singapore</v>
      </c>
      <c r="E199" s="9" t="s">
        <v>82</v>
      </c>
      <c r="F199" s="9" t="s">
        <v>18</v>
      </c>
      <c r="G199" s="9" t="s">
        <v>19</v>
      </c>
      <c r="H199" s="9">
        <v>45</v>
      </c>
      <c r="I199" s="5">
        <v>57.7</v>
      </c>
      <c r="J199" s="5">
        <v>2596.5</v>
      </c>
      <c r="K199" s="5">
        <v>102.52</v>
      </c>
      <c r="L199" s="5">
        <v>918.98</v>
      </c>
      <c r="M199" s="9" t="s">
        <v>28</v>
      </c>
      <c r="N199" s="9" t="s">
        <v>21</v>
      </c>
      <c r="O199" s="9" t="s">
        <v>66</v>
      </c>
    </row>
    <row r="200" spans="1:15" x14ac:dyDescent="0.3">
      <c r="A200" s="9" t="s">
        <v>502</v>
      </c>
      <c r="B200" s="10">
        <v>51702</v>
      </c>
      <c r="C200" s="9" t="s">
        <v>157</v>
      </c>
      <c r="D200" s="9" t="str">
        <f>PROPER(E200)</f>
        <v>Japan</v>
      </c>
      <c r="E200" s="9" t="s">
        <v>93</v>
      </c>
      <c r="F200" s="9" t="s">
        <v>73</v>
      </c>
      <c r="G200" s="9" t="s">
        <v>41</v>
      </c>
      <c r="H200" s="9">
        <v>23</v>
      </c>
      <c r="I200" s="5">
        <v>20.23</v>
      </c>
      <c r="J200" s="5">
        <v>465.29</v>
      </c>
      <c r="K200" s="5">
        <v>17.29</v>
      </c>
      <c r="L200" s="5">
        <v>154.75</v>
      </c>
      <c r="M200" s="9" t="s">
        <v>42</v>
      </c>
      <c r="N200" s="9" t="s">
        <v>21</v>
      </c>
      <c r="O200" s="9" t="s">
        <v>66</v>
      </c>
    </row>
    <row r="201" spans="1:15" x14ac:dyDescent="0.3">
      <c r="A201" s="9" t="s">
        <v>504</v>
      </c>
      <c r="B201" s="10">
        <v>51733</v>
      </c>
      <c r="C201" s="9" t="s">
        <v>160</v>
      </c>
      <c r="D201" s="9" t="str">
        <f>PROPER(E201)</f>
        <v>Italy</v>
      </c>
      <c r="E201" s="9" t="s">
        <v>34</v>
      </c>
      <c r="F201" s="9" t="s">
        <v>27</v>
      </c>
      <c r="G201" s="9" t="s">
        <v>19</v>
      </c>
      <c r="H201" s="9">
        <v>10</v>
      </c>
      <c r="I201" s="5">
        <v>22.96</v>
      </c>
      <c r="J201" s="5">
        <v>229.6</v>
      </c>
      <c r="K201" s="5">
        <v>18.260000000000002</v>
      </c>
      <c r="L201" s="5">
        <v>31.34</v>
      </c>
      <c r="M201" s="9" t="s">
        <v>20</v>
      </c>
      <c r="N201" s="9" t="s">
        <v>35</v>
      </c>
      <c r="O201" s="9" t="s">
        <v>30</v>
      </c>
    </row>
    <row r="202" spans="1:15" x14ac:dyDescent="0.3">
      <c r="A202" s="9" t="s">
        <v>505</v>
      </c>
      <c r="B202" s="10">
        <v>51764</v>
      </c>
      <c r="C202" s="9" t="s">
        <v>506</v>
      </c>
      <c r="D202" s="9" t="str">
        <f>PROPER(E202)</f>
        <v>Brazil</v>
      </c>
      <c r="E202" s="9" t="s">
        <v>39</v>
      </c>
      <c r="F202" s="9" t="s">
        <v>18</v>
      </c>
      <c r="G202" s="9" t="s">
        <v>19</v>
      </c>
      <c r="H202" s="9">
        <v>40</v>
      </c>
      <c r="I202" s="5">
        <v>54.84</v>
      </c>
      <c r="J202" s="5">
        <v>2193.6</v>
      </c>
      <c r="K202" s="5">
        <v>89.26</v>
      </c>
      <c r="L202" s="5">
        <v>704.34</v>
      </c>
      <c r="M202" s="9" t="s">
        <v>28</v>
      </c>
      <c r="N202" s="9" t="s">
        <v>21</v>
      </c>
      <c r="O202" s="9" t="s">
        <v>43</v>
      </c>
    </row>
    <row r="203" spans="1:15" x14ac:dyDescent="0.3">
      <c r="A203" s="9" t="s">
        <v>507</v>
      </c>
      <c r="B203" s="10">
        <v>51794</v>
      </c>
      <c r="C203" s="9" t="s">
        <v>232</v>
      </c>
      <c r="D203" s="9" t="str">
        <f>PROPER(E203)</f>
        <v>Singapore</v>
      </c>
      <c r="E203" s="9" t="s">
        <v>82</v>
      </c>
      <c r="F203" s="9" t="s">
        <v>64</v>
      </c>
      <c r="G203" s="9" t="s">
        <v>65</v>
      </c>
      <c r="H203" s="9">
        <v>7</v>
      </c>
      <c r="I203" s="5">
        <v>36.43</v>
      </c>
      <c r="J203" s="5">
        <v>255.01</v>
      </c>
      <c r="K203" s="5">
        <v>6.3</v>
      </c>
      <c r="L203" s="5">
        <v>73.709999999999994</v>
      </c>
      <c r="M203" s="9" t="s">
        <v>20</v>
      </c>
      <c r="N203" s="9" t="s">
        <v>29</v>
      </c>
      <c r="O203" s="9" t="s">
        <v>66</v>
      </c>
    </row>
    <row r="204" spans="1:15" x14ac:dyDescent="0.3">
      <c r="A204" s="9" t="s">
        <v>509</v>
      </c>
      <c r="B204" s="10">
        <v>51825</v>
      </c>
      <c r="C204" s="9" t="s">
        <v>295</v>
      </c>
      <c r="D204" s="9" t="str">
        <f>PROPER(E204)</f>
        <v>Mexico</v>
      </c>
      <c r="E204" s="9" t="s">
        <v>53</v>
      </c>
      <c r="F204" s="9" t="s">
        <v>73</v>
      </c>
      <c r="G204" s="9" t="s">
        <v>41</v>
      </c>
      <c r="H204" s="9">
        <v>39</v>
      </c>
      <c r="I204" s="5">
        <v>19.48</v>
      </c>
      <c r="J204" s="5">
        <v>759.72</v>
      </c>
      <c r="K204" s="5">
        <v>40.090000000000003</v>
      </c>
      <c r="L204" s="5">
        <v>222.38</v>
      </c>
      <c r="M204" s="9" t="s">
        <v>42</v>
      </c>
      <c r="N204" s="9" t="s">
        <v>29</v>
      </c>
      <c r="O204" s="9" t="s">
        <v>22</v>
      </c>
    </row>
    <row r="205" spans="1:15" x14ac:dyDescent="0.3">
      <c r="A205" s="9" t="s">
        <v>511</v>
      </c>
      <c r="B205" s="10">
        <v>51855</v>
      </c>
      <c r="C205" s="9" t="s">
        <v>395</v>
      </c>
      <c r="D205" s="9" t="str">
        <f>PROPER(E205)</f>
        <v>South Africa</v>
      </c>
      <c r="E205" s="9" t="s">
        <v>107</v>
      </c>
      <c r="F205" s="9" t="s">
        <v>58</v>
      </c>
      <c r="G205" s="9" t="s">
        <v>59</v>
      </c>
      <c r="H205" s="9">
        <v>35</v>
      </c>
      <c r="I205" s="5">
        <v>38.83</v>
      </c>
      <c r="J205" s="5">
        <v>1359.05</v>
      </c>
      <c r="K205" s="5">
        <v>93.92</v>
      </c>
      <c r="L205" s="5">
        <v>477.63</v>
      </c>
      <c r="M205" s="9" t="s">
        <v>42</v>
      </c>
      <c r="N205" s="9" t="s">
        <v>29</v>
      </c>
      <c r="O205" s="9" t="s">
        <v>108</v>
      </c>
    </row>
    <row r="206" spans="1:15" x14ac:dyDescent="0.3">
      <c r="A206" s="9" t="s">
        <v>512</v>
      </c>
      <c r="B206" s="10">
        <v>51886</v>
      </c>
      <c r="C206" s="9" t="s">
        <v>198</v>
      </c>
      <c r="D206" s="9" t="str">
        <f>PROPER(E206)</f>
        <v>China</v>
      </c>
      <c r="E206" s="9" t="s">
        <v>63</v>
      </c>
      <c r="F206" s="9" t="s">
        <v>54</v>
      </c>
      <c r="G206" s="9" t="s">
        <v>41</v>
      </c>
      <c r="H206" s="9">
        <v>39</v>
      </c>
      <c r="I206" s="5">
        <v>32.76</v>
      </c>
      <c r="J206" s="5">
        <v>1277.6400000000001</v>
      </c>
      <c r="K206" s="5">
        <v>35.81</v>
      </c>
      <c r="L206" s="5">
        <v>461.83</v>
      </c>
      <c r="M206" s="9" t="s">
        <v>28</v>
      </c>
      <c r="N206" s="9" t="s">
        <v>35</v>
      </c>
      <c r="O206" s="9" t="s">
        <v>66</v>
      </c>
    </row>
    <row r="207" spans="1:15" x14ac:dyDescent="0.3">
      <c r="A207" s="9" t="s">
        <v>513</v>
      </c>
      <c r="B207" s="10">
        <v>51917</v>
      </c>
      <c r="C207" s="9" t="s">
        <v>268</v>
      </c>
      <c r="D207" s="9" t="str">
        <f>PROPER(E207)</f>
        <v>Usa</v>
      </c>
      <c r="E207" s="9" t="s">
        <v>17</v>
      </c>
      <c r="F207" s="9" t="s">
        <v>40</v>
      </c>
      <c r="G207" s="9" t="s">
        <v>41</v>
      </c>
      <c r="H207" s="9">
        <v>8</v>
      </c>
      <c r="I207" s="5">
        <v>39.869999999999997</v>
      </c>
      <c r="J207" s="5">
        <v>318.95999999999998</v>
      </c>
      <c r="K207" s="5">
        <v>15.95</v>
      </c>
      <c r="L207" s="5">
        <v>47.01</v>
      </c>
      <c r="M207" s="9" t="s">
        <v>42</v>
      </c>
      <c r="N207" s="9" t="s">
        <v>35</v>
      </c>
      <c r="O207" s="9" t="s">
        <v>22</v>
      </c>
    </row>
    <row r="208" spans="1:15" x14ac:dyDescent="0.3">
      <c r="A208" s="9" t="s">
        <v>515</v>
      </c>
      <c r="B208" s="10">
        <v>51945</v>
      </c>
      <c r="C208" s="9" t="s">
        <v>384</v>
      </c>
      <c r="D208" s="9" t="str">
        <f>PROPER(E208)</f>
        <v>Uae</v>
      </c>
      <c r="E208" s="9" t="s">
        <v>89</v>
      </c>
      <c r="F208" s="9" t="s">
        <v>48</v>
      </c>
      <c r="G208" s="9" t="s">
        <v>49</v>
      </c>
      <c r="H208" s="9">
        <v>10</v>
      </c>
      <c r="I208" s="5">
        <v>63.1</v>
      </c>
      <c r="J208" s="5">
        <v>631</v>
      </c>
      <c r="K208" s="5">
        <v>26.93</v>
      </c>
      <c r="L208" s="5">
        <v>204.07</v>
      </c>
      <c r="M208" s="9" t="s">
        <v>28</v>
      </c>
      <c r="N208" s="9" t="s">
        <v>29</v>
      </c>
      <c r="O208" s="9" t="s">
        <v>66</v>
      </c>
    </row>
    <row r="209" spans="1:15" x14ac:dyDescent="0.3">
      <c r="A209" s="9" t="s">
        <v>516</v>
      </c>
      <c r="B209" s="10">
        <v>51976</v>
      </c>
      <c r="C209" s="9" t="s">
        <v>128</v>
      </c>
      <c r="D209" s="9" t="str">
        <f>PROPER(E209)</f>
        <v>Germany</v>
      </c>
      <c r="E209" s="9" t="s">
        <v>207</v>
      </c>
      <c r="F209" s="9" t="s">
        <v>40</v>
      </c>
      <c r="G209" s="9" t="s">
        <v>41</v>
      </c>
      <c r="H209" s="9">
        <v>3</v>
      </c>
      <c r="I209" s="5">
        <v>55.1</v>
      </c>
      <c r="J209" s="5">
        <v>165.3</v>
      </c>
      <c r="K209" s="5">
        <v>9.17</v>
      </c>
      <c r="L209" s="5">
        <v>60.13</v>
      </c>
      <c r="M209" s="9" t="s">
        <v>20</v>
      </c>
      <c r="N209" s="9" t="s">
        <v>21</v>
      </c>
      <c r="O209" s="9" t="s">
        <v>30</v>
      </c>
    </row>
    <row r="210" spans="1:15" x14ac:dyDescent="0.3">
      <c r="A210" s="9" t="s">
        <v>518</v>
      </c>
      <c r="B210" s="10">
        <v>52006</v>
      </c>
      <c r="C210" s="9" t="s">
        <v>85</v>
      </c>
      <c r="D210" s="9" t="str">
        <f>PROPER(E210)</f>
        <v>India</v>
      </c>
      <c r="E210" s="9" t="s">
        <v>249</v>
      </c>
      <c r="F210" s="9" t="s">
        <v>69</v>
      </c>
      <c r="G210" s="9" t="s">
        <v>59</v>
      </c>
      <c r="H210" s="9">
        <v>26</v>
      </c>
      <c r="I210" s="5">
        <v>19.809999999999999</v>
      </c>
      <c r="J210" s="5">
        <v>515.05999999999995</v>
      </c>
      <c r="K210" s="5">
        <v>10.3</v>
      </c>
      <c r="L210" s="5">
        <v>101.76</v>
      </c>
      <c r="M210" s="9" t="s">
        <v>42</v>
      </c>
      <c r="N210" s="9" t="s">
        <v>29</v>
      </c>
      <c r="O210" s="9" t="s">
        <v>66</v>
      </c>
    </row>
    <row r="211" spans="1:15" x14ac:dyDescent="0.3">
      <c r="A211" s="9" t="s">
        <v>520</v>
      </c>
      <c r="B211" s="10">
        <v>52037</v>
      </c>
      <c r="C211" s="9" t="s">
        <v>140</v>
      </c>
      <c r="D211" s="9" t="str">
        <f>PROPER(E211)</f>
        <v>Uae</v>
      </c>
      <c r="E211" s="9" t="s">
        <v>89</v>
      </c>
      <c r="F211" s="9" t="s">
        <v>48</v>
      </c>
      <c r="G211" s="9" t="s">
        <v>49</v>
      </c>
      <c r="H211" s="9">
        <v>17</v>
      </c>
      <c r="I211" s="5">
        <v>53.34</v>
      </c>
      <c r="J211" s="5">
        <v>906.78</v>
      </c>
      <c r="K211" s="5">
        <v>30.6</v>
      </c>
      <c r="L211" s="5">
        <v>196.18</v>
      </c>
      <c r="M211" s="9" t="s">
        <v>20</v>
      </c>
      <c r="N211" s="9" t="s">
        <v>29</v>
      </c>
      <c r="O211" s="9" t="s">
        <v>66</v>
      </c>
    </row>
    <row r="212" spans="1:15" x14ac:dyDescent="0.3">
      <c r="A212" s="9" t="s">
        <v>522</v>
      </c>
      <c r="B212" s="10">
        <v>52067</v>
      </c>
      <c r="C212" s="9" t="s">
        <v>117</v>
      </c>
      <c r="D212" s="9" t="str">
        <f>PROPER(E212)</f>
        <v>China</v>
      </c>
      <c r="E212" s="9" t="s">
        <v>63</v>
      </c>
      <c r="F212" s="9" t="s">
        <v>54</v>
      </c>
      <c r="G212" s="9" t="s">
        <v>41</v>
      </c>
      <c r="H212" s="9">
        <v>17</v>
      </c>
      <c r="I212" s="5">
        <v>28.23</v>
      </c>
      <c r="J212" s="5">
        <v>479.91</v>
      </c>
      <c r="K212" s="5">
        <v>31.88</v>
      </c>
      <c r="L212" s="5">
        <v>108.03</v>
      </c>
      <c r="M212" s="9" t="s">
        <v>28</v>
      </c>
      <c r="N212" s="9" t="s">
        <v>21</v>
      </c>
      <c r="O212" s="9" t="s">
        <v>66</v>
      </c>
    </row>
    <row r="213" spans="1:15" x14ac:dyDescent="0.3">
      <c r="A213" s="9" t="s">
        <v>524</v>
      </c>
      <c r="B213" s="10">
        <v>52098</v>
      </c>
      <c r="C213" s="9" t="s">
        <v>526</v>
      </c>
      <c r="D213" s="9" t="str">
        <f>PROPER(E213)</f>
        <v>Germany</v>
      </c>
      <c r="E213" s="9" t="s">
        <v>207</v>
      </c>
      <c r="F213" s="9" t="s">
        <v>27</v>
      </c>
      <c r="G213" s="9" t="s">
        <v>19</v>
      </c>
      <c r="H213" s="9">
        <v>42</v>
      </c>
      <c r="I213" s="5">
        <v>25.26</v>
      </c>
      <c r="J213" s="5">
        <v>1060.92</v>
      </c>
      <c r="K213" s="5">
        <v>77.05</v>
      </c>
      <c r="L213" s="5">
        <v>227.87</v>
      </c>
      <c r="M213" s="9" t="s">
        <v>20</v>
      </c>
      <c r="N213" s="9" t="s">
        <v>35</v>
      </c>
      <c r="O213" s="9" t="s">
        <v>30</v>
      </c>
    </row>
    <row r="214" spans="1:15" x14ac:dyDescent="0.3">
      <c r="A214" s="9" t="s">
        <v>527</v>
      </c>
      <c r="B214" s="10">
        <v>52129</v>
      </c>
      <c r="C214" s="9" t="s">
        <v>204</v>
      </c>
      <c r="D214" s="9" t="str">
        <f>PROPER(E214)</f>
        <v>India</v>
      </c>
      <c r="E214" s="9" t="s">
        <v>249</v>
      </c>
      <c r="F214" s="9" t="s">
        <v>27</v>
      </c>
      <c r="G214" s="9" t="s">
        <v>19</v>
      </c>
      <c r="H214" s="9">
        <v>2</v>
      </c>
      <c r="I214" s="5">
        <v>27.27</v>
      </c>
      <c r="J214" s="5">
        <v>54.54</v>
      </c>
      <c r="K214" s="5">
        <v>1.45</v>
      </c>
      <c r="L214" s="5">
        <v>17.09</v>
      </c>
      <c r="M214" s="9" t="s">
        <v>20</v>
      </c>
      <c r="N214" s="9" t="s">
        <v>35</v>
      </c>
      <c r="O214" s="9" t="s">
        <v>66</v>
      </c>
    </row>
    <row r="215" spans="1:15" x14ac:dyDescent="0.3">
      <c r="A215" s="9" t="s">
        <v>529</v>
      </c>
      <c r="B215" s="10">
        <v>52159</v>
      </c>
      <c r="C215" s="9" t="s">
        <v>336</v>
      </c>
      <c r="D215" s="9" t="str">
        <f>PROPER(E215)</f>
        <v>Uae</v>
      </c>
      <c r="E215" s="9" t="s">
        <v>89</v>
      </c>
      <c r="F215" s="9" t="s">
        <v>103</v>
      </c>
      <c r="G215" s="9" t="s">
        <v>59</v>
      </c>
      <c r="H215" s="9">
        <v>48</v>
      </c>
      <c r="I215" s="5">
        <v>44.95</v>
      </c>
      <c r="J215" s="5">
        <v>2157.6</v>
      </c>
      <c r="K215" s="5">
        <v>148.41</v>
      </c>
      <c r="L215" s="5">
        <v>665.19</v>
      </c>
      <c r="M215" s="9" t="s">
        <v>20</v>
      </c>
      <c r="N215" s="9" t="s">
        <v>21</v>
      </c>
      <c r="O215" s="9" t="s">
        <v>66</v>
      </c>
    </row>
    <row r="216" spans="1:15" x14ac:dyDescent="0.3">
      <c r="A216" s="9" t="s">
        <v>531</v>
      </c>
      <c r="B216" s="10">
        <v>52190</v>
      </c>
      <c r="C216" s="9" t="s">
        <v>526</v>
      </c>
      <c r="D216" s="9" t="str">
        <f>PROPER(E216)</f>
        <v>Singapore</v>
      </c>
      <c r="E216" s="9" t="s">
        <v>82</v>
      </c>
      <c r="F216" s="9" t="s">
        <v>54</v>
      </c>
      <c r="G216" s="9" t="s">
        <v>41</v>
      </c>
      <c r="H216" s="9">
        <v>23</v>
      </c>
      <c r="I216" s="5">
        <v>28.6</v>
      </c>
      <c r="J216" s="5">
        <v>657.8</v>
      </c>
      <c r="K216" s="5">
        <v>13.36</v>
      </c>
      <c r="L216" s="5">
        <v>184.44</v>
      </c>
      <c r="M216" s="9" t="s">
        <v>20</v>
      </c>
      <c r="N216" s="9" t="s">
        <v>35</v>
      </c>
      <c r="O216" s="9" t="s">
        <v>66</v>
      </c>
    </row>
    <row r="217" spans="1:15" x14ac:dyDescent="0.3">
      <c r="A217" s="9" t="s">
        <v>532</v>
      </c>
      <c r="B217" s="10">
        <v>52220</v>
      </c>
      <c r="C217" s="9" t="s">
        <v>140</v>
      </c>
      <c r="D217" s="9" t="str">
        <f>PROPER(E217)</f>
        <v>France</v>
      </c>
      <c r="E217" s="9" t="s">
        <v>137</v>
      </c>
      <c r="F217" s="9" t="s">
        <v>69</v>
      </c>
      <c r="G217" s="9" t="s">
        <v>59</v>
      </c>
      <c r="H217" s="9">
        <v>18</v>
      </c>
      <c r="I217" s="5">
        <v>26.1</v>
      </c>
      <c r="J217" s="5">
        <v>469.8</v>
      </c>
      <c r="K217" s="5">
        <v>19.52</v>
      </c>
      <c r="L217" s="5">
        <v>171.28</v>
      </c>
      <c r="M217" s="9" t="s">
        <v>42</v>
      </c>
      <c r="N217" s="9" t="s">
        <v>21</v>
      </c>
      <c r="O217" s="9" t="s">
        <v>30</v>
      </c>
    </row>
    <row r="218" spans="1:15" x14ac:dyDescent="0.3">
      <c r="A218" s="9" t="s">
        <v>533</v>
      </c>
      <c r="B218" s="10">
        <v>52251</v>
      </c>
      <c r="C218" s="9" t="s">
        <v>535</v>
      </c>
      <c r="D218" s="9" t="str">
        <f>PROPER(E218)</f>
        <v>Mexico</v>
      </c>
      <c r="E218" s="9" t="s">
        <v>53</v>
      </c>
      <c r="F218" s="9" t="s">
        <v>103</v>
      </c>
      <c r="G218" s="9" t="s">
        <v>59</v>
      </c>
      <c r="H218" s="9">
        <v>21</v>
      </c>
      <c r="I218" s="5">
        <v>37.450000000000003</v>
      </c>
      <c r="J218" s="5">
        <v>786.45</v>
      </c>
      <c r="K218" s="5">
        <v>62.4</v>
      </c>
      <c r="L218" s="5">
        <v>136.05000000000001</v>
      </c>
      <c r="M218" s="9" t="s">
        <v>20</v>
      </c>
      <c r="N218" s="9" t="s">
        <v>35</v>
      </c>
      <c r="O218" s="9" t="s">
        <v>22</v>
      </c>
    </row>
    <row r="219" spans="1:15" x14ac:dyDescent="0.3">
      <c r="A219" s="9" t="s">
        <v>536</v>
      </c>
      <c r="B219" s="10">
        <v>52282</v>
      </c>
      <c r="C219" s="9" t="s">
        <v>478</v>
      </c>
      <c r="D219" s="9" t="str">
        <f>PROPER(E219)</f>
        <v>Singapore</v>
      </c>
      <c r="E219" s="9" t="s">
        <v>82</v>
      </c>
      <c r="F219" s="9" t="s">
        <v>54</v>
      </c>
      <c r="G219" s="9" t="s">
        <v>41</v>
      </c>
      <c r="H219" s="9">
        <v>25</v>
      </c>
      <c r="I219" s="5">
        <v>28.54</v>
      </c>
      <c r="J219" s="5">
        <v>713.5</v>
      </c>
      <c r="K219" s="5">
        <v>50.38</v>
      </c>
      <c r="L219" s="5">
        <v>163.12</v>
      </c>
      <c r="M219" s="9" t="s">
        <v>20</v>
      </c>
      <c r="N219" s="9" t="s">
        <v>21</v>
      </c>
      <c r="O219" s="9" t="s">
        <v>66</v>
      </c>
    </row>
    <row r="220" spans="1:15" x14ac:dyDescent="0.3">
      <c r="A220" s="9" t="s">
        <v>538</v>
      </c>
      <c r="B220" s="10">
        <v>52310</v>
      </c>
      <c r="C220" s="9" t="s">
        <v>148</v>
      </c>
      <c r="D220" s="9" t="str">
        <f>PROPER(E220)</f>
        <v>Usa</v>
      </c>
      <c r="E220" s="9" t="s">
        <v>17</v>
      </c>
      <c r="F220" s="9" t="s">
        <v>64</v>
      </c>
      <c r="G220" s="9" t="s">
        <v>65</v>
      </c>
      <c r="H220" s="9">
        <v>11</v>
      </c>
      <c r="I220" s="5">
        <v>38.07</v>
      </c>
      <c r="J220" s="5">
        <v>418.77</v>
      </c>
      <c r="K220" s="5">
        <v>29.02</v>
      </c>
      <c r="L220" s="5">
        <v>114.75</v>
      </c>
      <c r="M220" s="9" t="s">
        <v>28</v>
      </c>
      <c r="N220" s="9" t="s">
        <v>21</v>
      </c>
      <c r="O220" s="9" t="s">
        <v>22</v>
      </c>
    </row>
    <row r="221" spans="1:15" x14ac:dyDescent="0.3">
      <c r="A221" s="9" t="s">
        <v>539</v>
      </c>
      <c r="B221" s="10">
        <v>52341</v>
      </c>
      <c r="C221" s="9" t="s">
        <v>541</v>
      </c>
      <c r="D221" s="9" t="str">
        <f>PROPER(E221)</f>
        <v>Canada</v>
      </c>
      <c r="E221" s="9" t="s">
        <v>47</v>
      </c>
      <c r="F221" s="9" t="s">
        <v>69</v>
      </c>
      <c r="G221" s="9" t="s">
        <v>59</v>
      </c>
      <c r="H221" s="9">
        <v>18</v>
      </c>
      <c r="I221" s="5">
        <v>19.32</v>
      </c>
      <c r="J221" s="5">
        <v>347.76</v>
      </c>
      <c r="K221" s="5">
        <v>21.34</v>
      </c>
      <c r="L221" s="5">
        <v>47.42</v>
      </c>
      <c r="M221" s="9" t="s">
        <v>28</v>
      </c>
      <c r="N221" s="9" t="s">
        <v>21</v>
      </c>
      <c r="O221" s="9" t="s">
        <v>22</v>
      </c>
    </row>
    <row r="222" spans="1:15" x14ac:dyDescent="0.3">
      <c r="A222" s="9" t="s">
        <v>542</v>
      </c>
      <c r="B222" s="10">
        <v>52371</v>
      </c>
      <c r="C222" s="9" t="s">
        <v>76</v>
      </c>
      <c r="D222" s="9" t="str">
        <f>PROPER(E222)</f>
        <v>Uk</v>
      </c>
      <c r="E222" s="9" t="s">
        <v>26</v>
      </c>
      <c r="F222" s="9" t="s">
        <v>103</v>
      </c>
      <c r="G222" s="9" t="s">
        <v>59</v>
      </c>
      <c r="H222" s="9">
        <v>42</v>
      </c>
      <c r="I222" s="5">
        <v>50.02</v>
      </c>
      <c r="J222" s="5">
        <v>2100.84</v>
      </c>
      <c r="K222" s="5">
        <v>89.65</v>
      </c>
      <c r="L222" s="5">
        <v>835.19</v>
      </c>
      <c r="M222" s="9" t="s">
        <v>28</v>
      </c>
      <c r="N222" s="9" t="s">
        <v>29</v>
      </c>
      <c r="O222" s="9" t="s">
        <v>30</v>
      </c>
    </row>
    <row r="223" spans="1:15" x14ac:dyDescent="0.3">
      <c r="A223" s="9" t="s">
        <v>543</v>
      </c>
      <c r="B223" s="10">
        <v>52402</v>
      </c>
      <c r="C223" s="9" t="s">
        <v>377</v>
      </c>
      <c r="D223" s="9" t="str">
        <f>PROPER(E223)</f>
        <v>Australia</v>
      </c>
      <c r="E223" s="9" t="s">
        <v>172</v>
      </c>
      <c r="F223" s="9" t="s">
        <v>103</v>
      </c>
      <c r="G223" s="9" t="s">
        <v>59</v>
      </c>
      <c r="H223" s="9">
        <v>13</v>
      </c>
      <c r="I223" s="5">
        <v>49.39</v>
      </c>
      <c r="J223" s="5">
        <v>642.07000000000005</v>
      </c>
      <c r="K223" s="5">
        <v>38.32</v>
      </c>
      <c r="L223" s="5">
        <v>239.75</v>
      </c>
      <c r="M223" s="9" t="s">
        <v>28</v>
      </c>
      <c r="N223" s="9" t="s">
        <v>21</v>
      </c>
      <c r="O223" s="9" t="s">
        <v>173</v>
      </c>
    </row>
    <row r="224" spans="1:15" x14ac:dyDescent="0.3">
      <c r="A224" s="9" t="s">
        <v>545</v>
      </c>
      <c r="B224" s="10">
        <v>52432</v>
      </c>
      <c r="C224" s="9" t="s">
        <v>154</v>
      </c>
      <c r="D224" s="9" t="str">
        <f>PROPER(E224)</f>
        <v>Uk</v>
      </c>
      <c r="E224" s="9" t="s">
        <v>26</v>
      </c>
      <c r="F224" s="9" t="s">
        <v>27</v>
      </c>
      <c r="G224" s="9" t="s">
        <v>19</v>
      </c>
      <c r="H224" s="9">
        <v>15</v>
      </c>
      <c r="I224" s="5">
        <v>22.86</v>
      </c>
      <c r="J224" s="5">
        <v>342.9</v>
      </c>
      <c r="K224" s="5">
        <v>27.16</v>
      </c>
      <c r="L224" s="5">
        <v>45.74</v>
      </c>
      <c r="M224" s="9" t="s">
        <v>42</v>
      </c>
      <c r="N224" s="9" t="s">
        <v>35</v>
      </c>
      <c r="O224" s="9" t="s">
        <v>30</v>
      </c>
    </row>
    <row r="225" spans="1:15" x14ac:dyDescent="0.3">
      <c r="A225" s="9" t="s">
        <v>547</v>
      </c>
      <c r="B225" s="10">
        <v>52463</v>
      </c>
      <c r="C225" s="9" t="s">
        <v>535</v>
      </c>
      <c r="D225" s="9" t="str">
        <f>PROPER(E225)</f>
        <v>India</v>
      </c>
      <c r="E225" s="9" t="s">
        <v>249</v>
      </c>
      <c r="F225" s="9" t="s">
        <v>64</v>
      </c>
      <c r="G225" s="9" t="s">
        <v>65</v>
      </c>
      <c r="H225" s="9">
        <v>37</v>
      </c>
      <c r="I225" s="5">
        <v>37.270000000000003</v>
      </c>
      <c r="J225" s="5">
        <v>1378.99</v>
      </c>
      <c r="K225" s="5">
        <v>92.92</v>
      </c>
      <c r="L225" s="5">
        <v>361.07</v>
      </c>
      <c r="M225" s="9" t="s">
        <v>20</v>
      </c>
      <c r="N225" s="9" t="s">
        <v>21</v>
      </c>
      <c r="O225" s="9" t="s">
        <v>66</v>
      </c>
    </row>
    <row r="226" spans="1:15" x14ac:dyDescent="0.3">
      <c r="A226" s="9" t="s">
        <v>549</v>
      </c>
      <c r="B226" s="10">
        <v>52494</v>
      </c>
      <c r="C226" s="9" t="s">
        <v>52</v>
      </c>
      <c r="D226" s="9" t="str">
        <f>PROPER(E226)</f>
        <v>France</v>
      </c>
      <c r="E226" s="9" t="s">
        <v>137</v>
      </c>
      <c r="F226" s="9" t="s">
        <v>18</v>
      </c>
      <c r="G226" s="9" t="s">
        <v>19</v>
      </c>
      <c r="H226" s="9">
        <v>49</v>
      </c>
      <c r="I226" s="5">
        <v>54.05</v>
      </c>
      <c r="J226" s="5">
        <v>2648.45</v>
      </c>
      <c r="K226" s="5">
        <v>66.8</v>
      </c>
      <c r="L226" s="5">
        <v>866.65</v>
      </c>
      <c r="M226" s="9" t="s">
        <v>42</v>
      </c>
      <c r="N226" s="9" t="s">
        <v>21</v>
      </c>
      <c r="O226" s="9" t="s">
        <v>30</v>
      </c>
    </row>
    <row r="227" spans="1:15" x14ac:dyDescent="0.3">
      <c r="A227" s="9" t="s">
        <v>551</v>
      </c>
      <c r="B227" s="10">
        <v>52524</v>
      </c>
      <c r="C227" s="9" t="s">
        <v>553</v>
      </c>
      <c r="D227" s="9" t="str">
        <f>PROPER(E227)</f>
        <v>Uk</v>
      </c>
      <c r="E227" s="9" t="s">
        <v>26</v>
      </c>
      <c r="F227" s="9" t="s">
        <v>73</v>
      </c>
      <c r="G227" s="9" t="s">
        <v>41</v>
      </c>
      <c r="H227" s="9">
        <v>33</v>
      </c>
      <c r="I227" s="5">
        <v>20.059999999999999</v>
      </c>
      <c r="J227" s="5">
        <v>661.98</v>
      </c>
      <c r="K227" s="5">
        <v>50.02</v>
      </c>
      <c r="L227" s="5">
        <v>191.21</v>
      </c>
      <c r="M227" s="9" t="s">
        <v>42</v>
      </c>
      <c r="N227" s="9" t="s">
        <v>29</v>
      </c>
      <c r="O227" s="9" t="s">
        <v>30</v>
      </c>
    </row>
    <row r="228" spans="1:15" x14ac:dyDescent="0.3">
      <c r="A228" s="9" t="s">
        <v>554</v>
      </c>
      <c r="B228" s="10">
        <v>52555</v>
      </c>
      <c r="C228" s="9" t="s">
        <v>295</v>
      </c>
      <c r="D228" s="9" t="str">
        <f>PROPER(E228)</f>
        <v>Germany</v>
      </c>
      <c r="E228" s="9" t="s">
        <v>207</v>
      </c>
      <c r="F228" s="9" t="s">
        <v>103</v>
      </c>
      <c r="G228" s="9" t="s">
        <v>59</v>
      </c>
      <c r="H228" s="9">
        <v>49</v>
      </c>
      <c r="I228" s="5">
        <v>35.68</v>
      </c>
      <c r="J228" s="5">
        <v>1748.32</v>
      </c>
      <c r="K228" s="5">
        <v>124.47</v>
      </c>
      <c r="L228" s="5">
        <v>251.85</v>
      </c>
      <c r="M228" s="9" t="s">
        <v>42</v>
      </c>
      <c r="N228" s="9" t="s">
        <v>35</v>
      </c>
      <c r="O228" s="9" t="s">
        <v>30</v>
      </c>
    </row>
    <row r="229" spans="1:15" x14ac:dyDescent="0.3">
      <c r="A229" s="9" t="s">
        <v>556</v>
      </c>
      <c r="B229" s="10">
        <v>52585</v>
      </c>
      <c r="C229" s="9" t="s">
        <v>33</v>
      </c>
      <c r="D229" s="9" t="str">
        <f>PROPER(E229)</f>
        <v>India</v>
      </c>
      <c r="E229" s="9" t="s">
        <v>249</v>
      </c>
      <c r="F229" s="9" t="s">
        <v>64</v>
      </c>
      <c r="G229" s="9" t="s">
        <v>65</v>
      </c>
      <c r="H229" s="9">
        <v>23</v>
      </c>
      <c r="I229" s="5">
        <v>30.89</v>
      </c>
      <c r="J229" s="5">
        <v>710.47</v>
      </c>
      <c r="K229" s="5">
        <v>18.739999999999998</v>
      </c>
      <c r="L229" s="5">
        <v>116.73</v>
      </c>
      <c r="M229" s="9" t="s">
        <v>28</v>
      </c>
      <c r="N229" s="9" t="s">
        <v>21</v>
      </c>
      <c r="O229" s="9" t="s">
        <v>66</v>
      </c>
    </row>
    <row r="230" spans="1:15" x14ac:dyDescent="0.3">
      <c r="A230" s="9" t="s">
        <v>558</v>
      </c>
      <c r="B230" s="10">
        <v>52616</v>
      </c>
      <c r="C230" s="9" t="s">
        <v>38</v>
      </c>
      <c r="D230" s="9" t="str">
        <f>PROPER(E230)</f>
        <v>France</v>
      </c>
      <c r="E230" s="9" t="s">
        <v>137</v>
      </c>
      <c r="F230" s="9" t="s">
        <v>18</v>
      </c>
      <c r="G230" s="9" t="s">
        <v>19</v>
      </c>
      <c r="H230" s="9">
        <v>14</v>
      </c>
      <c r="I230" s="5">
        <v>59.6</v>
      </c>
      <c r="J230" s="5">
        <v>834.4</v>
      </c>
      <c r="K230" s="5">
        <v>19.11</v>
      </c>
      <c r="L230" s="5">
        <v>325.29000000000002</v>
      </c>
      <c r="M230" s="9" t="s">
        <v>28</v>
      </c>
      <c r="N230" s="9" t="s">
        <v>29</v>
      </c>
      <c r="O230" s="9" t="s">
        <v>30</v>
      </c>
    </row>
    <row r="231" spans="1:15" x14ac:dyDescent="0.3">
      <c r="A231" s="9" t="s">
        <v>559</v>
      </c>
      <c r="B231" s="10">
        <v>52647</v>
      </c>
      <c r="C231" s="9" t="s">
        <v>447</v>
      </c>
      <c r="D231" s="9" t="str">
        <f>PROPER(E231)</f>
        <v>Germany</v>
      </c>
      <c r="E231" s="9" t="s">
        <v>207</v>
      </c>
      <c r="F231" s="9" t="s">
        <v>58</v>
      </c>
      <c r="G231" s="9" t="s">
        <v>59</v>
      </c>
      <c r="H231" s="9">
        <v>3</v>
      </c>
      <c r="I231" s="5">
        <v>28.36</v>
      </c>
      <c r="J231" s="5">
        <v>85.08</v>
      </c>
      <c r="K231" s="5">
        <v>4.46</v>
      </c>
      <c r="L231" s="5">
        <v>13.12</v>
      </c>
      <c r="M231" s="9" t="s">
        <v>20</v>
      </c>
      <c r="N231" s="9" t="s">
        <v>29</v>
      </c>
      <c r="O231" s="9" t="s">
        <v>30</v>
      </c>
    </row>
    <row r="232" spans="1:15" x14ac:dyDescent="0.3">
      <c r="A232" s="9" t="s">
        <v>560</v>
      </c>
      <c r="B232" s="10">
        <v>52676</v>
      </c>
      <c r="C232" s="9" t="s">
        <v>182</v>
      </c>
      <c r="D232" s="9" t="str">
        <f>PROPER(E232)</f>
        <v>Germany</v>
      </c>
      <c r="E232" s="9" t="s">
        <v>207</v>
      </c>
      <c r="F232" s="9" t="s">
        <v>73</v>
      </c>
      <c r="G232" s="9" t="s">
        <v>41</v>
      </c>
      <c r="H232" s="9">
        <v>28</v>
      </c>
      <c r="I232" s="5">
        <v>22.13</v>
      </c>
      <c r="J232" s="5">
        <v>619.64</v>
      </c>
      <c r="K232" s="5">
        <v>17.2</v>
      </c>
      <c r="L232" s="5">
        <v>245.44</v>
      </c>
      <c r="M232" s="9" t="s">
        <v>28</v>
      </c>
      <c r="N232" s="9" t="s">
        <v>35</v>
      </c>
      <c r="O232" s="9" t="s">
        <v>30</v>
      </c>
    </row>
    <row r="233" spans="1:15" x14ac:dyDescent="0.3">
      <c r="A233" s="9" t="s">
        <v>561</v>
      </c>
      <c r="B233" s="10">
        <v>52707</v>
      </c>
      <c r="C233" s="9" t="s">
        <v>339</v>
      </c>
      <c r="D233" s="9" t="str">
        <f>PROPER(E233)</f>
        <v>Usa</v>
      </c>
      <c r="E233" s="9" t="s">
        <v>17</v>
      </c>
      <c r="F233" s="9" t="s">
        <v>27</v>
      </c>
      <c r="G233" s="9" t="s">
        <v>19</v>
      </c>
      <c r="H233" s="9">
        <v>28</v>
      </c>
      <c r="I233" s="5">
        <v>27.62</v>
      </c>
      <c r="J233" s="5">
        <v>773.36</v>
      </c>
      <c r="K233" s="5">
        <v>29.88</v>
      </c>
      <c r="L233" s="5">
        <v>239.48</v>
      </c>
      <c r="M233" s="9" t="s">
        <v>20</v>
      </c>
      <c r="N233" s="9" t="s">
        <v>21</v>
      </c>
      <c r="O233" s="9" t="s">
        <v>22</v>
      </c>
    </row>
    <row r="234" spans="1:15" x14ac:dyDescent="0.3">
      <c r="A234" s="9" t="s">
        <v>562</v>
      </c>
      <c r="B234" s="10">
        <v>52737</v>
      </c>
      <c r="C234" s="9" t="s">
        <v>160</v>
      </c>
      <c r="D234" s="9" t="str">
        <f>PROPER(E234)</f>
        <v>Canada</v>
      </c>
      <c r="E234" s="9" t="s">
        <v>47</v>
      </c>
      <c r="F234" s="9" t="s">
        <v>64</v>
      </c>
      <c r="G234" s="9" t="s">
        <v>65</v>
      </c>
      <c r="H234" s="9">
        <v>40</v>
      </c>
      <c r="I234" s="5">
        <v>34.229999999999997</v>
      </c>
      <c r="J234" s="5">
        <v>1369.2</v>
      </c>
      <c r="K234" s="5">
        <v>78.03</v>
      </c>
      <c r="L234" s="5">
        <v>291.17</v>
      </c>
      <c r="M234" s="9" t="s">
        <v>20</v>
      </c>
      <c r="N234" s="9" t="s">
        <v>21</v>
      </c>
      <c r="O234" s="9" t="s">
        <v>22</v>
      </c>
    </row>
    <row r="235" spans="1:15" x14ac:dyDescent="0.3">
      <c r="A235" s="9" t="s">
        <v>564</v>
      </c>
      <c r="B235" s="10">
        <v>52768</v>
      </c>
      <c r="C235" s="9" t="s">
        <v>252</v>
      </c>
      <c r="D235" s="9" t="str">
        <f>PROPER(E235)</f>
        <v>Japan</v>
      </c>
      <c r="E235" s="9" t="s">
        <v>93</v>
      </c>
      <c r="F235" s="9" t="s">
        <v>48</v>
      </c>
      <c r="G235" s="9" t="s">
        <v>49</v>
      </c>
      <c r="H235" s="9">
        <v>9</v>
      </c>
      <c r="I235" s="5">
        <v>52.2</v>
      </c>
      <c r="J235" s="5">
        <v>469.8</v>
      </c>
      <c r="K235" s="5">
        <v>31.5</v>
      </c>
      <c r="L235" s="5">
        <v>78.3</v>
      </c>
      <c r="M235" s="9" t="s">
        <v>42</v>
      </c>
      <c r="N235" s="9" t="s">
        <v>35</v>
      </c>
      <c r="O235" s="9" t="s">
        <v>66</v>
      </c>
    </row>
    <row r="236" spans="1:15" x14ac:dyDescent="0.3">
      <c r="A236" s="9" t="s">
        <v>566</v>
      </c>
      <c r="B236" s="10">
        <v>52798</v>
      </c>
      <c r="C236" s="9" t="s">
        <v>339</v>
      </c>
      <c r="D236" s="9" t="str">
        <f>PROPER(E236)</f>
        <v>France</v>
      </c>
      <c r="E236" s="9" t="s">
        <v>137</v>
      </c>
      <c r="F236" s="9" t="s">
        <v>64</v>
      </c>
      <c r="G236" s="9" t="s">
        <v>65</v>
      </c>
      <c r="H236" s="9">
        <v>31</v>
      </c>
      <c r="I236" s="5">
        <v>43.54</v>
      </c>
      <c r="J236" s="5">
        <v>1349.74</v>
      </c>
      <c r="K236" s="5">
        <v>99.86</v>
      </c>
      <c r="L236" s="5">
        <v>474.88</v>
      </c>
      <c r="M236" s="9" t="s">
        <v>20</v>
      </c>
      <c r="N236" s="9" t="s">
        <v>29</v>
      </c>
      <c r="O236" s="9" t="s">
        <v>30</v>
      </c>
    </row>
    <row r="237" spans="1:15" x14ac:dyDescent="0.3">
      <c r="A237" s="9" t="s">
        <v>567</v>
      </c>
      <c r="B237" s="10">
        <v>52829</v>
      </c>
      <c r="C237" s="9" t="s">
        <v>151</v>
      </c>
      <c r="D237" s="9" t="str">
        <f>PROPER(E237)</f>
        <v>Uae</v>
      </c>
      <c r="E237" s="9" t="s">
        <v>89</v>
      </c>
      <c r="F237" s="9" t="s">
        <v>69</v>
      </c>
      <c r="G237" s="9" t="s">
        <v>59</v>
      </c>
      <c r="H237" s="9">
        <v>31</v>
      </c>
      <c r="I237" s="5">
        <v>18.63</v>
      </c>
      <c r="J237" s="5">
        <v>577.53</v>
      </c>
      <c r="K237" s="5">
        <v>36.65</v>
      </c>
      <c r="L237" s="5">
        <v>60.38</v>
      </c>
      <c r="M237" s="9" t="s">
        <v>42</v>
      </c>
      <c r="N237" s="9" t="s">
        <v>21</v>
      </c>
      <c r="O237" s="9" t="s">
        <v>66</v>
      </c>
    </row>
    <row r="238" spans="1:15" x14ac:dyDescent="0.3">
      <c r="A238" s="9" t="s">
        <v>568</v>
      </c>
      <c r="B238" s="10">
        <v>52860</v>
      </c>
      <c r="C238" s="9" t="s">
        <v>409</v>
      </c>
      <c r="D238" s="9" t="str">
        <f>PROPER(E238)</f>
        <v>Japan</v>
      </c>
      <c r="E238" s="9" t="s">
        <v>93</v>
      </c>
      <c r="F238" s="9" t="s">
        <v>54</v>
      </c>
      <c r="G238" s="9" t="s">
        <v>41</v>
      </c>
      <c r="H238" s="9">
        <v>38</v>
      </c>
      <c r="I238" s="5">
        <v>27.28</v>
      </c>
      <c r="J238" s="5">
        <v>1036.6400000000001</v>
      </c>
      <c r="K238" s="5">
        <v>38.770000000000003</v>
      </c>
      <c r="L238" s="5">
        <v>237.87</v>
      </c>
      <c r="M238" s="9" t="s">
        <v>20</v>
      </c>
      <c r="N238" s="9" t="s">
        <v>35</v>
      </c>
      <c r="O238" s="9" t="s">
        <v>66</v>
      </c>
    </row>
    <row r="239" spans="1:15" x14ac:dyDescent="0.3">
      <c r="A239" s="9" t="s">
        <v>570</v>
      </c>
      <c r="B239" s="10">
        <v>52890</v>
      </c>
      <c r="C239" s="9" t="s">
        <v>295</v>
      </c>
      <c r="D239" s="9" t="str">
        <f>PROPER(E239)</f>
        <v>Brazil</v>
      </c>
      <c r="E239" s="9" t="s">
        <v>39</v>
      </c>
      <c r="F239" s="9" t="s">
        <v>27</v>
      </c>
      <c r="G239" s="9" t="s">
        <v>19</v>
      </c>
      <c r="H239" s="9">
        <v>50</v>
      </c>
      <c r="I239" s="5">
        <v>30.97</v>
      </c>
      <c r="J239" s="5">
        <v>1548.5</v>
      </c>
      <c r="K239" s="5">
        <v>82.09</v>
      </c>
      <c r="L239" s="5">
        <v>566.41</v>
      </c>
      <c r="M239" s="9" t="s">
        <v>28</v>
      </c>
      <c r="N239" s="9" t="s">
        <v>29</v>
      </c>
      <c r="O239" s="9" t="s">
        <v>43</v>
      </c>
    </row>
    <row r="240" spans="1:15" x14ac:dyDescent="0.3">
      <c r="A240" s="9" t="s">
        <v>571</v>
      </c>
      <c r="B240" s="10">
        <v>52921</v>
      </c>
      <c r="C240" s="9" t="s">
        <v>92</v>
      </c>
      <c r="D240" s="9" t="str">
        <f>PROPER(E240)</f>
        <v>Japan</v>
      </c>
      <c r="E240" s="9" t="s">
        <v>93</v>
      </c>
      <c r="F240" s="9" t="s">
        <v>48</v>
      </c>
      <c r="G240" s="9" t="s">
        <v>49</v>
      </c>
      <c r="H240" s="9">
        <v>17</v>
      </c>
      <c r="I240" s="5">
        <v>60.91</v>
      </c>
      <c r="J240" s="5">
        <v>1035.47</v>
      </c>
      <c r="K240" s="5">
        <v>54.09</v>
      </c>
      <c r="L240" s="5">
        <v>301.38</v>
      </c>
      <c r="M240" s="9" t="s">
        <v>42</v>
      </c>
      <c r="N240" s="9" t="s">
        <v>21</v>
      </c>
      <c r="O240" s="9" t="s">
        <v>66</v>
      </c>
    </row>
    <row r="241" spans="1:15" x14ac:dyDescent="0.3">
      <c r="A241" s="9" t="s">
        <v>572</v>
      </c>
      <c r="B241" s="10">
        <v>52951</v>
      </c>
      <c r="C241" s="9" t="s">
        <v>404</v>
      </c>
      <c r="D241" s="9" t="str">
        <f>PROPER(E241)</f>
        <v>China</v>
      </c>
      <c r="E241" s="9" t="s">
        <v>63</v>
      </c>
      <c r="F241" s="9" t="s">
        <v>54</v>
      </c>
      <c r="G241" s="9" t="s">
        <v>41</v>
      </c>
      <c r="H241" s="9">
        <v>25</v>
      </c>
      <c r="I241" s="5">
        <v>31.15</v>
      </c>
      <c r="J241" s="5">
        <v>778.75</v>
      </c>
      <c r="K241" s="5">
        <v>47.45</v>
      </c>
      <c r="L241" s="5">
        <v>231.3</v>
      </c>
      <c r="M241" s="9" t="s">
        <v>20</v>
      </c>
      <c r="N241" s="9" t="s">
        <v>35</v>
      </c>
      <c r="O241" s="9" t="s">
        <v>66</v>
      </c>
    </row>
    <row r="242" spans="1:15" x14ac:dyDescent="0.3">
      <c r="A242" s="9" t="s">
        <v>574</v>
      </c>
      <c r="B242" s="10">
        <v>52982</v>
      </c>
      <c r="C242" s="9" t="s">
        <v>429</v>
      </c>
      <c r="D242" s="9" t="str">
        <f>PROPER(E242)</f>
        <v>France</v>
      </c>
      <c r="E242" s="9" t="s">
        <v>137</v>
      </c>
      <c r="F242" s="9" t="s">
        <v>27</v>
      </c>
      <c r="G242" s="9" t="s">
        <v>19</v>
      </c>
      <c r="H242" s="9">
        <v>30</v>
      </c>
      <c r="I242" s="5">
        <v>31.12</v>
      </c>
      <c r="J242" s="5">
        <v>933.6</v>
      </c>
      <c r="K242" s="5">
        <v>50.88</v>
      </c>
      <c r="L242" s="5">
        <v>342.72</v>
      </c>
      <c r="M242" s="9" t="s">
        <v>28</v>
      </c>
      <c r="N242" s="9" t="s">
        <v>29</v>
      </c>
      <c r="O242" s="9" t="s">
        <v>30</v>
      </c>
    </row>
    <row r="243" spans="1:15" x14ac:dyDescent="0.3">
      <c r="A243" s="9" t="s">
        <v>576</v>
      </c>
      <c r="B243" s="10">
        <v>53013</v>
      </c>
      <c r="C243" s="9" t="s">
        <v>148</v>
      </c>
      <c r="D243" s="9" t="str">
        <f>PROPER(E243)</f>
        <v>Mexico</v>
      </c>
      <c r="E243" s="9" t="s">
        <v>53</v>
      </c>
      <c r="F243" s="9" t="s">
        <v>69</v>
      </c>
      <c r="G243" s="9" t="s">
        <v>59</v>
      </c>
      <c r="H243" s="9">
        <v>17</v>
      </c>
      <c r="I243" s="5">
        <v>19.64</v>
      </c>
      <c r="J243" s="5">
        <v>333.88</v>
      </c>
      <c r="K243" s="5">
        <v>22.23</v>
      </c>
      <c r="L243" s="5">
        <v>48.15</v>
      </c>
      <c r="M243" s="9" t="s">
        <v>42</v>
      </c>
      <c r="N243" s="9" t="s">
        <v>35</v>
      </c>
      <c r="O243" s="9" t="s">
        <v>22</v>
      </c>
    </row>
    <row r="244" spans="1:15" x14ac:dyDescent="0.3">
      <c r="A244" s="9" t="s">
        <v>578</v>
      </c>
      <c r="B244" s="10">
        <v>53041</v>
      </c>
      <c r="C244" s="9" t="s">
        <v>580</v>
      </c>
      <c r="D244" s="9" t="str">
        <f>PROPER(E244)</f>
        <v>Usa</v>
      </c>
      <c r="E244" s="9" t="s">
        <v>17</v>
      </c>
      <c r="F244" s="9" t="s">
        <v>40</v>
      </c>
      <c r="G244" s="9" t="s">
        <v>41</v>
      </c>
      <c r="H244" s="9">
        <v>37</v>
      </c>
      <c r="I244" s="5">
        <v>57.35</v>
      </c>
      <c r="J244" s="5">
        <v>2121.9499999999998</v>
      </c>
      <c r="K244" s="5">
        <v>147.38999999999999</v>
      </c>
      <c r="L244" s="5">
        <v>790.56</v>
      </c>
      <c r="M244" s="9" t="s">
        <v>20</v>
      </c>
      <c r="N244" s="9" t="s">
        <v>21</v>
      </c>
      <c r="O244" s="9" t="s">
        <v>22</v>
      </c>
    </row>
    <row r="245" spans="1:15" x14ac:dyDescent="0.3">
      <c r="A245" s="9" t="s">
        <v>581</v>
      </c>
      <c r="B245" s="10">
        <v>53072</v>
      </c>
      <c r="C245" s="9" t="s">
        <v>16</v>
      </c>
      <c r="D245" s="9" t="str">
        <f>PROPER(E245)</f>
        <v>Italy</v>
      </c>
      <c r="E245" s="9" t="s">
        <v>34</v>
      </c>
      <c r="F245" s="9" t="s">
        <v>18</v>
      </c>
      <c r="G245" s="9" t="s">
        <v>19</v>
      </c>
      <c r="H245" s="9">
        <v>45</v>
      </c>
      <c r="I245" s="5">
        <v>42.6</v>
      </c>
      <c r="J245" s="5">
        <v>1917</v>
      </c>
      <c r="K245" s="5">
        <v>104.27</v>
      </c>
      <c r="L245" s="5">
        <v>237.73</v>
      </c>
      <c r="M245" s="9" t="s">
        <v>28</v>
      </c>
      <c r="N245" s="9" t="s">
        <v>35</v>
      </c>
      <c r="O245" s="9" t="s">
        <v>30</v>
      </c>
    </row>
    <row r="246" spans="1:15" x14ac:dyDescent="0.3">
      <c r="A246" s="9" t="s">
        <v>583</v>
      </c>
      <c r="B246" s="10">
        <v>53102</v>
      </c>
      <c r="C246" s="9" t="s">
        <v>131</v>
      </c>
      <c r="D246" s="9" t="str">
        <f>PROPER(E246)</f>
        <v>Uk</v>
      </c>
      <c r="E246" s="9" t="s">
        <v>26</v>
      </c>
      <c r="F246" s="9" t="s">
        <v>54</v>
      </c>
      <c r="G246" s="9" t="s">
        <v>41</v>
      </c>
      <c r="H246" s="9">
        <v>25</v>
      </c>
      <c r="I246" s="5">
        <v>31.82</v>
      </c>
      <c r="J246" s="5">
        <v>795.5</v>
      </c>
      <c r="K246" s="5">
        <v>37.33</v>
      </c>
      <c r="L246" s="5">
        <v>258.17</v>
      </c>
      <c r="M246" s="9" t="s">
        <v>20</v>
      </c>
      <c r="N246" s="9" t="s">
        <v>29</v>
      </c>
      <c r="O246" s="9" t="s">
        <v>30</v>
      </c>
    </row>
    <row r="247" spans="1:15" x14ac:dyDescent="0.3">
      <c r="A247" s="9" t="s">
        <v>585</v>
      </c>
      <c r="B247" s="10">
        <v>53133</v>
      </c>
      <c r="C247" s="9" t="s">
        <v>166</v>
      </c>
      <c r="D247" s="9" t="str">
        <f>PROPER(E247)</f>
        <v>India</v>
      </c>
      <c r="E247" s="9" t="s">
        <v>249</v>
      </c>
      <c r="F247" s="9" t="s">
        <v>64</v>
      </c>
      <c r="G247" s="9" t="s">
        <v>65</v>
      </c>
      <c r="H247" s="9">
        <v>17</v>
      </c>
      <c r="I247" s="5">
        <v>36.270000000000003</v>
      </c>
      <c r="J247" s="5">
        <v>616.59</v>
      </c>
      <c r="K247" s="5">
        <v>22.76</v>
      </c>
      <c r="L247" s="5">
        <v>168.83</v>
      </c>
      <c r="M247" s="9" t="s">
        <v>42</v>
      </c>
      <c r="N247" s="9" t="s">
        <v>21</v>
      </c>
      <c r="O247" s="9" t="s">
        <v>66</v>
      </c>
    </row>
    <row r="248" spans="1:15" x14ac:dyDescent="0.3">
      <c r="A248" s="9" t="s">
        <v>586</v>
      </c>
      <c r="B248" s="10">
        <v>53163</v>
      </c>
      <c r="C248" s="9" t="s">
        <v>301</v>
      </c>
      <c r="D248" s="9" t="str">
        <f>PROPER(E248)</f>
        <v>Uae</v>
      </c>
      <c r="E248" s="9" t="s">
        <v>89</v>
      </c>
      <c r="F248" s="9" t="s">
        <v>27</v>
      </c>
      <c r="G248" s="9" t="s">
        <v>19</v>
      </c>
      <c r="H248" s="9">
        <v>4</v>
      </c>
      <c r="I248" s="5">
        <v>27.01</v>
      </c>
      <c r="J248" s="5">
        <v>108.04</v>
      </c>
      <c r="K248" s="5">
        <v>4.7300000000000004</v>
      </c>
      <c r="L248" s="5">
        <v>31.31</v>
      </c>
      <c r="M248" s="9" t="s">
        <v>42</v>
      </c>
      <c r="N248" s="9" t="s">
        <v>35</v>
      </c>
      <c r="O248" s="9" t="s">
        <v>66</v>
      </c>
    </row>
    <row r="249" spans="1:15" x14ac:dyDescent="0.3">
      <c r="A249" s="9" t="s">
        <v>588</v>
      </c>
      <c r="B249" s="10">
        <v>53194</v>
      </c>
      <c r="C249" s="9" t="s">
        <v>336</v>
      </c>
      <c r="D249" s="9" t="str">
        <f>PROPER(E249)</f>
        <v>Mexico</v>
      </c>
      <c r="E249" s="9" t="s">
        <v>53</v>
      </c>
      <c r="F249" s="9" t="s">
        <v>18</v>
      </c>
      <c r="G249" s="9" t="s">
        <v>19</v>
      </c>
      <c r="H249" s="9">
        <v>22</v>
      </c>
      <c r="I249" s="5">
        <v>57.6</v>
      </c>
      <c r="J249" s="5">
        <v>1267.2</v>
      </c>
      <c r="K249" s="5">
        <v>35.32</v>
      </c>
      <c r="L249" s="5">
        <v>461.88</v>
      </c>
      <c r="M249" s="9" t="s">
        <v>42</v>
      </c>
      <c r="N249" s="9" t="s">
        <v>21</v>
      </c>
      <c r="O249" s="9" t="s">
        <v>22</v>
      </c>
    </row>
    <row r="250" spans="1:15" x14ac:dyDescent="0.3">
      <c r="A250" s="9" t="s">
        <v>589</v>
      </c>
      <c r="B250" s="10">
        <v>53225</v>
      </c>
      <c r="C250" s="9" t="s">
        <v>384</v>
      </c>
      <c r="D250" s="9" t="str">
        <f>PROPER(E250)</f>
        <v>Germany</v>
      </c>
      <c r="E250" s="9" t="s">
        <v>207</v>
      </c>
      <c r="F250" s="9" t="s">
        <v>64</v>
      </c>
      <c r="G250" s="9" t="s">
        <v>65</v>
      </c>
      <c r="H250" s="9">
        <v>24</v>
      </c>
      <c r="I250" s="5">
        <v>43.34</v>
      </c>
      <c r="J250" s="5">
        <v>1040.1600000000001</v>
      </c>
      <c r="K250" s="5">
        <v>41.18</v>
      </c>
      <c r="L250" s="5">
        <v>398.98</v>
      </c>
      <c r="M250" s="9" t="s">
        <v>20</v>
      </c>
      <c r="N250" s="9" t="s">
        <v>35</v>
      </c>
      <c r="O250" s="9" t="s">
        <v>30</v>
      </c>
    </row>
    <row r="251" spans="1:15" x14ac:dyDescent="0.3">
      <c r="A251" s="9" t="s">
        <v>591</v>
      </c>
      <c r="B251" s="10">
        <v>53255</v>
      </c>
      <c r="C251" s="9" t="s">
        <v>232</v>
      </c>
      <c r="D251" s="9" t="str">
        <f>PROPER(E251)</f>
        <v>Mexico</v>
      </c>
      <c r="E251" s="9" t="s">
        <v>53</v>
      </c>
      <c r="F251" s="9" t="s">
        <v>48</v>
      </c>
      <c r="G251" s="9" t="s">
        <v>49</v>
      </c>
      <c r="H251" s="9">
        <v>37</v>
      </c>
      <c r="I251" s="5">
        <v>71.8</v>
      </c>
      <c r="J251" s="5">
        <v>2656.6</v>
      </c>
      <c r="K251" s="5">
        <v>60.3</v>
      </c>
      <c r="L251" s="5">
        <v>1116.3</v>
      </c>
      <c r="M251" s="9" t="s">
        <v>28</v>
      </c>
      <c r="N251" s="9" t="s">
        <v>21</v>
      </c>
      <c r="O251" s="9" t="s">
        <v>22</v>
      </c>
    </row>
    <row r="252" spans="1:15" x14ac:dyDescent="0.3">
      <c r="A252" s="9" t="s">
        <v>593</v>
      </c>
      <c r="B252" s="10">
        <v>53286</v>
      </c>
      <c r="C252" s="9" t="s">
        <v>580</v>
      </c>
      <c r="D252" s="9" t="str">
        <f>PROPER(E252)</f>
        <v>Uae</v>
      </c>
      <c r="E252" s="9" t="s">
        <v>89</v>
      </c>
      <c r="F252" s="9" t="s">
        <v>54</v>
      </c>
      <c r="G252" s="9" t="s">
        <v>41</v>
      </c>
      <c r="H252" s="9">
        <v>24</v>
      </c>
      <c r="I252" s="5">
        <v>29.11</v>
      </c>
      <c r="J252" s="5">
        <v>698.64</v>
      </c>
      <c r="K252" s="5">
        <v>53.99</v>
      </c>
      <c r="L252" s="5">
        <v>164.65</v>
      </c>
      <c r="M252" s="9" t="s">
        <v>42</v>
      </c>
      <c r="N252" s="9" t="s">
        <v>35</v>
      </c>
      <c r="O252" s="9" t="s">
        <v>66</v>
      </c>
    </row>
    <row r="253" spans="1:15" x14ac:dyDescent="0.3">
      <c r="A253" s="9" t="s">
        <v>595</v>
      </c>
      <c r="B253" s="10">
        <v>53316</v>
      </c>
      <c r="C253" s="9" t="s">
        <v>597</v>
      </c>
      <c r="D253" s="9" t="str">
        <f>PROPER(E253)</f>
        <v>Japan</v>
      </c>
      <c r="E253" s="9" t="s">
        <v>93</v>
      </c>
      <c r="F253" s="9" t="s">
        <v>58</v>
      </c>
      <c r="G253" s="9" t="s">
        <v>59</v>
      </c>
      <c r="H253" s="9">
        <v>6</v>
      </c>
      <c r="I253" s="5">
        <v>27.91</v>
      </c>
      <c r="J253" s="5">
        <v>167.46</v>
      </c>
      <c r="K253" s="5">
        <v>10.01</v>
      </c>
      <c r="L253" s="5">
        <v>22.45</v>
      </c>
      <c r="M253" s="9" t="s">
        <v>20</v>
      </c>
      <c r="N253" s="9" t="s">
        <v>21</v>
      </c>
      <c r="O253" s="9" t="s">
        <v>66</v>
      </c>
    </row>
    <row r="254" spans="1:15" x14ac:dyDescent="0.3">
      <c r="A254" s="9" t="s">
        <v>598</v>
      </c>
      <c r="B254" s="10">
        <v>53347</v>
      </c>
      <c r="C254" s="9" t="s">
        <v>38</v>
      </c>
      <c r="D254" s="9" t="str">
        <f>PROPER(E254)</f>
        <v>China</v>
      </c>
      <c r="E254" s="9" t="s">
        <v>63</v>
      </c>
      <c r="F254" s="9" t="s">
        <v>58</v>
      </c>
      <c r="G254" s="9" t="s">
        <v>59</v>
      </c>
      <c r="H254" s="9">
        <v>28</v>
      </c>
      <c r="I254" s="5">
        <v>27.29</v>
      </c>
      <c r="J254" s="5">
        <v>764.12</v>
      </c>
      <c r="K254" s="5">
        <v>25.78</v>
      </c>
      <c r="L254" s="5">
        <v>108.34</v>
      </c>
      <c r="M254" s="9" t="s">
        <v>42</v>
      </c>
      <c r="N254" s="9" t="s">
        <v>21</v>
      </c>
      <c r="O254" s="9" t="s">
        <v>66</v>
      </c>
    </row>
    <row r="255" spans="1:15" x14ac:dyDescent="0.3">
      <c r="A255" s="9" t="s">
        <v>599</v>
      </c>
      <c r="B255" s="10">
        <v>53378</v>
      </c>
      <c r="C255" s="9" t="s">
        <v>472</v>
      </c>
      <c r="D255" s="9" t="str">
        <f>PROPER(E255)</f>
        <v>Mexico</v>
      </c>
      <c r="E255" s="9" t="s">
        <v>53</v>
      </c>
      <c r="F255" s="9" t="s">
        <v>58</v>
      </c>
      <c r="G255" s="9" t="s">
        <v>59</v>
      </c>
      <c r="H255" s="9">
        <v>47</v>
      </c>
      <c r="I255" s="5">
        <v>35.880000000000003</v>
      </c>
      <c r="J255" s="5">
        <v>1686.36</v>
      </c>
      <c r="K255" s="5">
        <v>70.3</v>
      </c>
      <c r="L255" s="5">
        <v>558.55999999999995</v>
      </c>
      <c r="M255" s="9" t="s">
        <v>20</v>
      </c>
      <c r="N255" s="9" t="s">
        <v>29</v>
      </c>
      <c r="O255" s="9" t="s">
        <v>22</v>
      </c>
    </row>
    <row r="256" spans="1:15" x14ac:dyDescent="0.3">
      <c r="A256" s="9" t="s">
        <v>601</v>
      </c>
      <c r="B256" s="10">
        <v>53406</v>
      </c>
      <c r="C256" s="9" t="s">
        <v>284</v>
      </c>
      <c r="D256" s="9" t="str">
        <f>PROPER(E256)</f>
        <v>France</v>
      </c>
      <c r="E256" s="9" t="s">
        <v>137</v>
      </c>
      <c r="F256" s="9" t="s">
        <v>69</v>
      </c>
      <c r="G256" s="9" t="s">
        <v>59</v>
      </c>
      <c r="H256" s="9">
        <v>19</v>
      </c>
      <c r="I256" s="5">
        <v>27.47</v>
      </c>
      <c r="J256" s="5">
        <v>521.92999999999995</v>
      </c>
      <c r="K256" s="5">
        <v>31.29</v>
      </c>
      <c r="L256" s="5">
        <v>196.14</v>
      </c>
      <c r="M256" s="9" t="s">
        <v>28</v>
      </c>
      <c r="N256" s="9" t="s">
        <v>35</v>
      </c>
      <c r="O256" s="9" t="s">
        <v>30</v>
      </c>
    </row>
    <row r="257" spans="1:15" x14ac:dyDescent="0.3">
      <c r="A257" s="9" t="s">
        <v>602</v>
      </c>
      <c r="B257" s="10">
        <v>53437</v>
      </c>
      <c r="C257" s="9" t="s">
        <v>182</v>
      </c>
      <c r="D257" s="9" t="str">
        <f>PROPER(E257)</f>
        <v>Australia</v>
      </c>
      <c r="E257" s="9" t="s">
        <v>172</v>
      </c>
      <c r="F257" s="9" t="s">
        <v>54</v>
      </c>
      <c r="G257" s="9" t="s">
        <v>41</v>
      </c>
      <c r="H257" s="9">
        <v>13</v>
      </c>
      <c r="I257" s="5">
        <v>29.26</v>
      </c>
      <c r="J257" s="5">
        <v>380.38</v>
      </c>
      <c r="K257" s="5">
        <v>9.4700000000000006</v>
      </c>
      <c r="L257" s="5">
        <v>110.91</v>
      </c>
      <c r="M257" s="9" t="s">
        <v>28</v>
      </c>
      <c r="N257" s="9" t="s">
        <v>35</v>
      </c>
      <c r="O257" s="9" t="s">
        <v>173</v>
      </c>
    </row>
    <row r="258" spans="1:15" x14ac:dyDescent="0.3">
      <c r="A258" s="9" t="s">
        <v>603</v>
      </c>
      <c r="B258" s="10">
        <v>53467</v>
      </c>
      <c r="C258" s="9" t="s">
        <v>452</v>
      </c>
      <c r="D258" s="9" t="str">
        <f>PROPER(E258)</f>
        <v>Germany</v>
      </c>
      <c r="E258" s="9" t="s">
        <v>207</v>
      </c>
      <c r="F258" s="9" t="s">
        <v>27</v>
      </c>
      <c r="G258" s="9" t="s">
        <v>19</v>
      </c>
      <c r="H258" s="9">
        <v>4</v>
      </c>
      <c r="I258" s="5">
        <v>26.17</v>
      </c>
      <c r="J258" s="5">
        <v>104.68</v>
      </c>
      <c r="K258" s="5">
        <v>6.33</v>
      </c>
      <c r="L258" s="5">
        <v>26.35</v>
      </c>
      <c r="M258" s="9" t="s">
        <v>20</v>
      </c>
      <c r="N258" s="9" t="s">
        <v>29</v>
      </c>
      <c r="O258" s="9" t="s">
        <v>30</v>
      </c>
    </row>
    <row r="259" spans="1:15" x14ac:dyDescent="0.3">
      <c r="A259" s="9" t="s">
        <v>604</v>
      </c>
      <c r="B259" s="10">
        <v>53498</v>
      </c>
      <c r="C259" s="9" t="s">
        <v>232</v>
      </c>
      <c r="D259" s="9" t="str">
        <f>PROPER(E259)</f>
        <v>Germany</v>
      </c>
      <c r="E259" s="9" t="s">
        <v>207</v>
      </c>
      <c r="F259" s="9" t="s">
        <v>58</v>
      </c>
      <c r="G259" s="9" t="s">
        <v>59</v>
      </c>
      <c r="H259" s="9">
        <v>43</v>
      </c>
      <c r="I259" s="5">
        <v>37.32</v>
      </c>
      <c r="J259" s="5">
        <v>1604.76</v>
      </c>
      <c r="K259" s="5">
        <v>61.01</v>
      </c>
      <c r="L259" s="5">
        <v>576.25</v>
      </c>
      <c r="M259" s="9" t="s">
        <v>20</v>
      </c>
      <c r="N259" s="9" t="s">
        <v>29</v>
      </c>
      <c r="O259" s="9" t="s">
        <v>30</v>
      </c>
    </row>
    <row r="260" spans="1:15" x14ac:dyDescent="0.3">
      <c r="A260" s="9" t="s">
        <v>606</v>
      </c>
      <c r="B260" s="10">
        <v>53528</v>
      </c>
      <c r="C260" s="9" t="s">
        <v>432</v>
      </c>
      <c r="D260" s="9" t="str">
        <f>PROPER(E260)</f>
        <v>South Africa</v>
      </c>
      <c r="E260" s="9" t="s">
        <v>107</v>
      </c>
      <c r="F260" s="9" t="s">
        <v>27</v>
      </c>
      <c r="G260" s="9" t="s">
        <v>19</v>
      </c>
      <c r="H260" s="9">
        <v>27</v>
      </c>
      <c r="I260" s="5">
        <v>23.05</v>
      </c>
      <c r="J260" s="5">
        <v>622.35</v>
      </c>
      <c r="K260" s="5">
        <v>20.440000000000001</v>
      </c>
      <c r="L260" s="5">
        <v>115.91</v>
      </c>
      <c r="M260" s="9" t="s">
        <v>42</v>
      </c>
      <c r="N260" s="9" t="s">
        <v>29</v>
      </c>
      <c r="O260" s="9" t="s">
        <v>108</v>
      </c>
    </row>
    <row r="261" spans="1:15" x14ac:dyDescent="0.3">
      <c r="A261" s="9" t="s">
        <v>608</v>
      </c>
      <c r="B261" s="10">
        <v>53559</v>
      </c>
      <c r="C261" s="9" t="s">
        <v>610</v>
      </c>
      <c r="D261" s="9" t="str">
        <f>PROPER(E261)</f>
        <v>Japan</v>
      </c>
      <c r="E261" s="9" t="s">
        <v>93</v>
      </c>
      <c r="F261" s="9" t="s">
        <v>73</v>
      </c>
      <c r="G261" s="9" t="s">
        <v>41</v>
      </c>
      <c r="H261" s="9">
        <v>38</v>
      </c>
      <c r="I261" s="5">
        <v>19.02</v>
      </c>
      <c r="J261" s="5">
        <v>722.76</v>
      </c>
      <c r="K261" s="5">
        <v>14.63</v>
      </c>
      <c r="L261" s="5">
        <v>223.63</v>
      </c>
      <c r="M261" s="9" t="s">
        <v>28</v>
      </c>
      <c r="N261" s="9" t="s">
        <v>29</v>
      </c>
      <c r="O261" s="9" t="s">
        <v>66</v>
      </c>
    </row>
    <row r="262" spans="1:15" x14ac:dyDescent="0.3">
      <c r="A262" s="9" t="s">
        <v>611</v>
      </c>
      <c r="B262" s="10">
        <v>53590</v>
      </c>
      <c r="C262" s="9" t="s">
        <v>613</v>
      </c>
      <c r="D262" s="9" t="str">
        <f>PROPER(E262)</f>
        <v>Canada</v>
      </c>
      <c r="E262" s="9" t="s">
        <v>47</v>
      </c>
      <c r="F262" s="9" t="s">
        <v>48</v>
      </c>
      <c r="G262" s="9" t="s">
        <v>49</v>
      </c>
      <c r="H262" s="9">
        <v>10</v>
      </c>
      <c r="I262" s="5">
        <v>70.94</v>
      </c>
      <c r="J262" s="5">
        <v>709.4</v>
      </c>
      <c r="K262" s="5">
        <v>18.64</v>
      </c>
      <c r="L262" s="5">
        <v>290.76</v>
      </c>
      <c r="M262" s="9" t="s">
        <v>28</v>
      </c>
      <c r="N262" s="9" t="s">
        <v>35</v>
      </c>
      <c r="O262" s="9" t="s">
        <v>22</v>
      </c>
    </row>
    <row r="263" spans="1:15" x14ac:dyDescent="0.3">
      <c r="A263" s="9" t="s">
        <v>614</v>
      </c>
      <c r="B263" s="10">
        <v>53620</v>
      </c>
      <c r="C263" s="9" t="s">
        <v>409</v>
      </c>
      <c r="D263" s="9" t="str">
        <f>PROPER(E263)</f>
        <v>Singapore</v>
      </c>
      <c r="E263" s="9" t="s">
        <v>82</v>
      </c>
      <c r="F263" s="9" t="s">
        <v>64</v>
      </c>
      <c r="G263" s="9" t="s">
        <v>65</v>
      </c>
      <c r="H263" s="9">
        <v>17</v>
      </c>
      <c r="I263" s="5">
        <v>38.28</v>
      </c>
      <c r="J263" s="5">
        <v>650.76</v>
      </c>
      <c r="K263" s="5">
        <v>38.43</v>
      </c>
      <c r="L263" s="5">
        <v>187.33</v>
      </c>
      <c r="M263" s="9" t="s">
        <v>28</v>
      </c>
      <c r="N263" s="9" t="s">
        <v>35</v>
      </c>
      <c r="O263" s="9" t="s">
        <v>66</v>
      </c>
    </row>
    <row r="264" spans="1:15" x14ac:dyDescent="0.3">
      <c r="A264" s="9" t="s">
        <v>616</v>
      </c>
      <c r="B264" s="10">
        <v>53651</v>
      </c>
      <c r="C264" s="9" t="s">
        <v>541</v>
      </c>
      <c r="D264" s="9" t="str">
        <f>PROPER(E264)</f>
        <v>Usa</v>
      </c>
      <c r="E264" s="9" t="s">
        <v>17</v>
      </c>
      <c r="F264" s="9" t="s">
        <v>40</v>
      </c>
      <c r="G264" s="9" t="s">
        <v>41</v>
      </c>
      <c r="H264" s="9">
        <v>10</v>
      </c>
      <c r="I264" s="5">
        <v>38.799999999999997</v>
      </c>
      <c r="J264" s="5">
        <v>388</v>
      </c>
      <c r="K264" s="5">
        <v>16.39</v>
      </c>
      <c r="L264" s="5">
        <v>51.61</v>
      </c>
      <c r="M264" s="9" t="s">
        <v>42</v>
      </c>
      <c r="N264" s="9" t="s">
        <v>29</v>
      </c>
      <c r="O264" s="9" t="s">
        <v>22</v>
      </c>
    </row>
    <row r="265" spans="1:15" x14ac:dyDescent="0.3">
      <c r="A265" s="9" t="s">
        <v>618</v>
      </c>
      <c r="B265" s="10">
        <v>53681</v>
      </c>
      <c r="C265" s="9" t="s">
        <v>232</v>
      </c>
      <c r="D265" s="9" t="str">
        <f>PROPER(E265)</f>
        <v>China</v>
      </c>
      <c r="E265" s="9" t="s">
        <v>63</v>
      </c>
      <c r="F265" s="9" t="s">
        <v>64</v>
      </c>
      <c r="G265" s="9" t="s">
        <v>65</v>
      </c>
      <c r="H265" s="9">
        <v>3</v>
      </c>
      <c r="I265" s="5">
        <v>33.840000000000003</v>
      </c>
      <c r="J265" s="5">
        <v>101.52</v>
      </c>
      <c r="K265" s="5">
        <v>2.3199999999999998</v>
      </c>
      <c r="L265" s="5">
        <v>24.2</v>
      </c>
      <c r="M265" s="9" t="s">
        <v>42</v>
      </c>
      <c r="N265" s="9" t="s">
        <v>35</v>
      </c>
      <c r="O265" s="9" t="s">
        <v>66</v>
      </c>
    </row>
    <row r="266" spans="1:15" x14ac:dyDescent="0.3">
      <c r="A266" s="9" t="s">
        <v>620</v>
      </c>
      <c r="B266" s="10">
        <v>53712</v>
      </c>
      <c r="C266" s="9" t="s">
        <v>284</v>
      </c>
      <c r="D266" s="9" t="str">
        <f>PROPER(E266)</f>
        <v>Germany</v>
      </c>
      <c r="E266" s="9" t="s">
        <v>207</v>
      </c>
      <c r="F266" s="9" t="s">
        <v>69</v>
      </c>
      <c r="G266" s="9" t="s">
        <v>59</v>
      </c>
      <c r="H266" s="9">
        <v>20</v>
      </c>
      <c r="I266" s="5">
        <v>21.12</v>
      </c>
      <c r="J266" s="5">
        <v>422.4</v>
      </c>
      <c r="K266" s="5">
        <v>22.08</v>
      </c>
      <c r="L266" s="5">
        <v>90.32</v>
      </c>
      <c r="M266" s="9" t="s">
        <v>28</v>
      </c>
      <c r="N266" s="9" t="s">
        <v>35</v>
      </c>
      <c r="O266" s="9" t="s">
        <v>30</v>
      </c>
    </row>
    <row r="267" spans="1:15" x14ac:dyDescent="0.3">
      <c r="A267" s="9" t="s">
        <v>622</v>
      </c>
      <c r="B267" s="10">
        <v>53743</v>
      </c>
      <c r="C267" s="9" t="s">
        <v>407</v>
      </c>
      <c r="D267" s="9" t="str">
        <f>PROPER(E267)</f>
        <v>South Africa</v>
      </c>
      <c r="E267" s="9" t="s">
        <v>107</v>
      </c>
      <c r="F267" s="9" t="s">
        <v>18</v>
      </c>
      <c r="G267" s="9" t="s">
        <v>19</v>
      </c>
      <c r="H267" s="9">
        <v>1</v>
      </c>
      <c r="I267" s="5">
        <v>58.15</v>
      </c>
      <c r="J267" s="5">
        <v>58.15</v>
      </c>
      <c r="K267" s="5">
        <v>4.2</v>
      </c>
      <c r="L267" s="5">
        <v>18.95</v>
      </c>
      <c r="M267" s="9" t="s">
        <v>28</v>
      </c>
      <c r="N267" s="9" t="s">
        <v>29</v>
      </c>
      <c r="O267" s="9" t="s">
        <v>108</v>
      </c>
    </row>
    <row r="268" spans="1:15" x14ac:dyDescent="0.3">
      <c r="A268" s="9" t="s">
        <v>624</v>
      </c>
      <c r="B268" s="10">
        <v>53771</v>
      </c>
      <c r="C268" s="9" t="s">
        <v>123</v>
      </c>
      <c r="D268" s="9" t="str">
        <f>PROPER(E268)</f>
        <v>Brazil</v>
      </c>
      <c r="E268" s="9" t="s">
        <v>39</v>
      </c>
      <c r="F268" s="9" t="s">
        <v>40</v>
      </c>
      <c r="G268" s="9" t="s">
        <v>41</v>
      </c>
      <c r="H268" s="9">
        <v>32</v>
      </c>
      <c r="I268" s="5">
        <v>45.96</v>
      </c>
      <c r="J268" s="5">
        <v>1470.72</v>
      </c>
      <c r="K268" s="5">
        <v>82.77</v>
      </c>
      <c r="L268" s="5">
        <v>363.95</v>
      </c>
      <c r="M268" s="9" t="s">
        <v>20</v>
      </c>
      <c r="N268" s="9" t="s">
        <v>29</v>
      </c>
      <c r="O268" s="9" t="s">
        <v>43</v>
      </c>
    </row>
    <row r="269" spans="1:15" x14ac:dyDescent="0.3">
      <c r="A269" s="9" t="s">
        <v>626</v>
      </c>
      <c r="B269" s="10">
        <v>53802</v>
      </c>
      <c r="C269" s="9" t="s">
        <v>438</v>
      </c>
      <c r="D269" s="9" t="str">
        <f>PROPER(E269)</f>
        <v>Italy</v>
      </c>
      <c r="E269" s="9" t="s">
        <v>34</v>
      </c>
      <c r="F269" s="9" t="s">
        <v>73</v>
      </c>
      <c r="G269" s="9" t="s">
        <v>41</v>
      </c>
      <c r="H269" s="9">
        <v>37</v>
      </c>
      <c r="I269" s="5">
        <v>16.82</v>
      </c>
      <c r="J269" s="5">
        <v>622.34</v>
      </c>
      <c r="K269" s="5">
        <v>32.9</v>
      </c>
      <c r="L269" s="5">
        <v>117.69</v>
      </c>
      <c r="M269" s="9" t="s">
        <v>42</v>
      </c>
      <c r="N269" s="9" t="s">
        <v>29</v>
      </c>
      <c r="O269" s="9" t="s">
        <v>30</v>
      </c>
    </row>
    <row r="270" spans="1:15" x14ac:dyDescent="0.3">
      <c r="A270" s="9" t="s">
        <v>628</v>
      </c>
      <c r="B270" s="10">
        <v>53832</v>
      </c>
      <c r="C270" s="9" t="s">
        <v>57</v>
      </c>
      <c r="D270" s="9" t="str">
        <f>PROPER(E270)</f>
        <v>Italy</v>
      </c>
      <c r="E270" s="9" t="s">
        <v>34</v>
      </c>
      <c r="F270" s="9" t="s">
        <v>40</v>
      </c>
      <c r="G270" s="9" t="s">
        <v>41</v>
      </c>
      <c r="H270" s="9">
        <v>18</v>
      </c>
      <c r="I270" s="5">
        <v>54.62</v>
      </c>
      <c r="J270" s="5">
        <v>983.16</v>
      </c>
      <c r="K270" s="5">
        <v>22.61</v>
      </c>
      <c r="L270" s="5">
        <v>384.55</v>
      </c>
      <c r="M270" s="9" t="s">
        <v>42</v>
      </c>
      <c r="N270" s="9" t="s">
        <v>29</v>
      </c>
      <c r="O270" s="9" t="s">
        <v>30</v>
      </c>
    </row>
    <row r="271" spans="1:15" x14ac:dyDescent="0.3">
      <c r="A271" s="9" t="s">
        <v>630</v>
      </c>
      <c r="B271" s="10">
        <v>53863</v>
      </c>
      <c r="C271" s="9" t="s">
        <v>136</v>
      </c>
      <c r="D271" s="9" t="str">
        <f>PROPER(E271)</f>
        <v>Italy</v>
      </c>
      <c r="E271" s="9" t="s">
        <v>34</v>
      </c>
      <c r="F271" s="9" t="s">
        <v>73</v>
      </c>
      <c r="G271" s="9" t="s">
        <v>41</v>
      </c>
      <c r="H271" s="9">
        <v>30</v>
      </c>
      <c r="I271" s="5">
        <v>22.83</v>
      </c>
      <c r="J271" s="5">
        <v>684.9</v>
      </c>
      <c r="K271" s="5">
        <v>32.31</v>
      </c>
      <c r="L271" s="5">
        <v>270.08999999999997</v>
      </c>
      <c r="M271" s="9" t="s">
        <v>20</v>
      </c>
      <c r="N271" s="9" t="s">
        <v>29</v>
      </c>
      <c r="O271" s="9" t="s">
        <v>30</v>
      </c>
    </row>
    <row r="272" spans="1:15" x14ac:dyDescent="0.3">
      <c r="A272" s="9" t="s">
        <v>632</v>
      </c>
      <c r="B272" s="10">
        <v>53893</v>
      </c>
      <c r="C272" s="9" t="s">
        <v>633</v>
      </c>
      <c r="D272" s="9" t="str">
        <f>PROPER(E272)</f>
        <v>France</v>
      </c>
      <c r="E272" s="9" t="s">
        <v>137</v>
      </c>
      <c r="F272" s="9" t="s">
        <v>40</v>
      </c>
      <c r="G272" s="9" t="s">
        <v>41</v>
      </c>
      <c r="H272" s="9">
        <v>39</v>
      </c>
      <c r="I272" s="5">
        <v>47.02</v>
      </c>
      <c r="J272" s="5">
        <v>1833.78</v>
      </c>
      <c r="K272" s="5">
        <v>50.01</v>
      </c>
      <c r="L272" s="5">
        <v>535.77</v>
      </c>
      <c r="M272" s="9" t="s">
        <v>42</v>
      </c>
      <c r="N272" s="9" t="s">
        <v>29</v>
      </c>
      <c r="O272" s="9" t="s">
        <v>30</v>
      </c>
    </row>
    <row r="273" spans="1:15" x14ac:dyDescent="0.3">
      <c r="A273" s="9" t="s">
        <v>634</v>
      </c>
      <c r="B273" s="10">
        <v>53924</v>
      </c>
      <c r="C273" s="9" t="s">
        <v>111</v>
      </c>
      <c r="D273" s="9" t="str">
        <f>PROPER(E273)</f>
        <v>Usa</v>
      </c>
      <c r="E273" s="9" t="s">
        <v>17</v>
      </c>
      <c r="F273" s="9" t="s">
        <v>103</v>
      </c>
      <c r="G273" s="9" t="s">
        <v>59</v>
      </c>
      <c r="H273" s="9">
        <v>22</v>
      </c>
      <c r="I273" s="5">
        <v>43.32</v>
      </c>
      <c r="J273" s="5">
        <v>953.04</v>
      </c>
      <c r="K273" s="5">
        <v>71.3</v>
      </c>
      <c r="L273" s="5">
        <v>265.74</v>
      </c>
      <c r="M273" s="9" t="s">
        <v>28</v>
      </c>
      <c r="N273" s="9" t="s">
        <v>35</v>
      </c>
      <c r="O273" s="9" t="s">
        <v>22</v>
      </c>
    </row>
    <row r="274" spans="1:15" x14ac:dyDescent="0.3">
      <c r="A274" s="9" t="s">
        <v>636</v>
      </c>
      <c r="B274" s="10">
        <v>53955</v>
      </c>
      <c r="C274" s="9" t="s">
        <v>442</v>
      </c>
      <c r="D274" s="9" t="str">
        <f>PROPER(E274)</f>
        <v>Japan</v>
      </c>
      <c r="E274" s="9" t="s">
        <v>93</v>
      </c>
      <c r="F274" s="9" t="s">
        <v>58</v>
      </c>
      <c r="G274" s="9" t="s">
        <v>59</v>
      </c>
      <c r="H274" s="9">
        <v>6</v>
      </c>
      <c r="I274" s="5">
        <v>31.69</v>
      </c>
      <c r="J274" s="5">
        <v>190.14</v>
      </c>
      <c r="K274" s="5">
        <v>12.52</v>
      </c>
      <c r="L274" s="5">
        <v>42.62</v>
      </c>
      <c r="M274" s="9" t="s">
        <v>42</v>
      </c>
      <c r="N274" s="9" t="s">
        <v>29</v>
      </c>
      <c r="O274" s="9" t="s">
        <v>66</v>
      </c>
    </row>
    <row r="275" spans="1:15" x14ac:dyDescent="0.3">
      <c r="A275" s="9" t="s">
        <v>638</v>
      </c>
      <c r="B275" s="10">
        <v>53985</v>
      </c>
      <c r="C275" s="9" t="s">
        <v>284</v>
      </c>
      <c r="D275" s="9" t="str">
        <f>PROPER(E275)</f>
        <v>Germany</v>
      </c>
      <c r="E275" s="9" t="s">
        <v>207</v>
      </c>
      <c r="F275" s="9" t="s">
        <v>18</v>
      </c>
      <c r="G275" s="9" t="s">
        <v>19</v>
      </c>
      <c r="H275" s="9">
        <v>19</v>
      </c>
      <c r="I275" s="5">
        <v>53.28</v>
      </c>
      <c r="J275" s="5">
        <v>1012.32</v>
      </c>
      <c r="K275" s="5">
        <v>27.24</v>
      </c>
      <c r="L275" s="5">
        <v>320.08</v>
      </c>
      <c r="M275" s="9" t="s">
        <v>42</v>
      </c>
      <c r="N275" s="9" t="s">
        <v>29</v>
      </c>
      <c r="O275" s="9" t="s">
        <v>30</v>
      </c>
    </row>
    <row r="276" spans="1:15" x14ac:dyDescent="0.3">
      <c r="A276" s="9" t="s">
        <v>640</v>
      </c>
      <c r="B276" s="10">
        <v>54016</v>
      </c>
      <c r="C276" s="9" t="s">
        <v>212</v>
      </c>
      <c r="D276" s="9" t="str">
        <f>PROPER(E276)</f>
        <v>Usa</v>
      </c>
      <c r="E276" s="9" t="s">
        <v>17</v>
      </c>
      <c r="F276" s="9" t="s">
        <v>18</v>
      </c>
      <c r="G276" s="9" t="s">
        <v>19</v>
      </c>
      <c r="H276" s="9">
        <v>47</v>
      </c>
      <c r="I276" s="5">
        <v>47.53</v>
      </c>
      <c r="J276" s="5">
        <v>2233.91</v>
      </c>
      <c r="K276" s="5">
        <v>128.91</v>
      </c>
      <c r="L276" s="5">
        <v>460</v>
      </c>
      <c r="M276" s="9" t="s">
        <v>28</v>
      </c>
      <c r="N276" s="9" t="s">
        <v>21</v>
      </c>
      <c r="O276" s="9" t="s">
        <v>22</v>
      </c>
    </row>
    <row r="277" spans="1:15" x14ac:dyDescent="0.3">
      <c r="A277" s="9" t="s">
        <v>641</v>
      </c>
      <c r="B277" s="10">
        <v>54046</v>
      </c>
      <c r="C277" s="9" t="s">
        <v>422</v>
      </c>
      <c r="D277" s="9" t="str">
        <f>PROPER(E277)</f>
        <v>Singapore</v>
      </c>
      <c r="E277" s="9" t="s">
        <v>82</v>
      </c>
      <c r="F277" s="9" t="s">
        <v>54</v>
      </c>
      <c r="G277" s="9" t="s">
        <v>41</v>
      </c>
      <c r="H277" s="9">
        <v>12</v>
      </c>
      <c r="I277" s="5">
        <v>24.02</v>
      </c>
      <c r="J277" s="5">
        <v>288.24</v>
      </c>
      <c r="K277" s="5">
        <v>9.8000000000000007</v>
      </c>
      <c r="L277" s="5">
        <v>38.44</v>
      </c>
      <c r="M277" s="9" t="s">
        <v>20</v>
      </c>
      <c r="N277" s="9" t="s">
        <v>35</v>
      </c>
      <c r="O277" s="9" t="s">
        <v>66</v>
      </c>
    </row>
    <row r="278" spans="1:15" x14ac:dyDescent="0.3">
      <c r="A278" s="9" t="s">
        <v>643</v>
      </c>
      <c r="B278" s="10">
        <v>54077</v>
      </c>
      <c r="C278" s="9" t="s">
        <v>541</v>
      </c>
      <c r="D278" s="9" t="str">
        <f>PROPER(E278)</f>
        <v>Singapore</v>
      </c>
      <c r="E278" s="9" t="s">
        <v>82</v>
      </c>
      <c r="F278" s="9" t="s">
        <v>73</v>
      </c>
      <c r="G278" s="9" t="s">
        <v>41</v>
      </c>
      <c r="H278" s="9">
        <v>32</v>
      </c>
      <c r="I278" s="5">
        <v>15.64</v>
      </c>
      <c r="J278" s="5">
        <v>500.48</v>
      </c>
      <c r="K278" s="5">
        <v>24.69</v>
      </c>
      <c r="L278" s="5">
        <v>67.790000000000006</v>
      </c>
      <c r="M278" s="9" t="s">
        <v>42</v>
      </c>
      <c r="N278" s="9" t="s">
        <v>21</v>
      </c>
      <c r="O278" s="9" t="s">
        <v>66</v>
      </c>
    </row>
    <row r="279" spans="1:15" x14ac:dyDescent="0.3">
      <c r="A279" s="9" t="s">
        <v>644</v>
      </c>
      <c r="B279" s="10">
        <v>54108</v>
      </c>
      <c r="C279" s="9" t="s">
        <v>348</v>
      </c>
      <c r="D279" s="9" t="str">
        <f>PROPER(E279)</f>
        <v>Australia</v>
      </c>
      <c r="E279" s="9" t="s">
        <v>172</v>
      </c>
      <c r="F279" s="9" t="s">
        <v>40</v>
      </c>
      <c r="G279" s="9" t="s">
        <v>41</v>
      </c>
      <c r="H279" s="9">
        <v>22</v>
      </c>
      <c r="I279" s="5">
        <v>42.54</v>
      </c>
      <c r="J279" s="5">
        <v>935.88</v>
      </c>
      <c r="K279" s="5">
        <v>45.37</v>
      </c>
      <c r="L279" s="5">
        <v>186.51</v>
      </c>
      <c r="M279" s="9" t="s">
        <v>20</v>
      </c>
      <c r="N279" s="9" t="s">
        <v>35</v>
      </c>
      <c r="O279" s="9" t="s">
        <v>173</v>
      </c>
    </row>
    <row r="280" spans="1:15" x14ac:dyDescent="0.3">
      <c r="A280" s="9" t="s">
        <v>645</v>
      </c>
      <c r="B280" s="10">
        <v>54137</v>
      </c>
      <c r="C280" s="9" t="s">
        <v>466</v>
      </c>
      <c r="D280" s="9" t="str">
        <f>PROPER(E280)</f>
        <v>India</v>
      </c>
      <c r="E280" s="9" t="s">
        <v>249</v>
      </c>
      <c r="F280" s="9" t="s">
        <v>64</v>
      </c>
      <c r="G280" s="9" t="s">
        <v>65</v>
      </c>
      <c r="H280" s="9">
        <v>37</v>
      </c>
      <c r="I280" s="5">
        <v>43.55</v>
      </c>
      <c r="J280" s="5">
        <v>1611.35</v>
      </c>
      <c r="K280" s="5">
        <v>67.78</v>
      </c>
      <c r="L280" s="5">
        <v>618.57000000000005</v>
      </c>
      <c r="M280" s="9" t="s">
        <v>28</v>
      </c>
      <c r="N280" s="9" t="s">
        <v>29</v>
      </c>
      <c r="O280" s="9" t="s">
        <v>66</v>
      </c>
    </row>
    <row r="281" spans="1:15" x14ac:dyDescent="0.3">
      <c r="A281" s="9" t="s">
        <v>647</v>
      </c>
      <c r="B281" s="10">
        <v>54168</v>
      </c>
      <c r="C281" s="9" t="s">
        <v>148</v>
      </c>
      <c r="D281" s="9" t="str">
        <f>PROPER(E281)</f>
        <v>Brazil</v>
      </c>
      <c r="E281" s="9" t="s">
        <v>39</v>
      </c>
      <c r="F281" s="9" t="s">
        <v>69</v>
      </c>
      <c r="G281" s="9" t="s">
        <v>59</v>
      </c>
      <c r="H281" s="9">
        <v>42</v>
      </c>
      <c r="I281" s="5">
        <v>20.260000000000002</v>
      </c>
      <c r="J281" s="5">
        <v>850.92</v>
      </c>
      <c r="K281" s="5">
        <v>22.43</v>
      </c>
      <c r="L281" s="5">
        <v>177.49</v>
      </c>
      <c r="M281" s="9" t="s">
        <v>42</v>
      </c>
      <c r="N281" s="9" t="s">
        <v>35</v>
      </c>
      <c r="O281" s="9" t="s">
        <v>43</v>
      </c>
    </row>
    <row r="282" spans="1:15" x14ac:dyDescent="0.3">
      <c r="A282" s="9" t="s">
        <v>648</v>
      </c>
      <c r="B282" s="10">
        <v>54198</v>
      </c>
      <c r="C282" s="9" t="s">
        <v>79</v>
      </c>
      <c r="D282" s="9" t="str">
        <f>PROPER(E282)</f>
        <v>Canada</v>
      </c>
      <c r="E282" s="9" t="s">
        <v>47</v>
      </c>
      <c r="F282" s="9" t="s">
        <v>27</v>
      </c>
      <c r="G282" s="9" t="s">
        <v>19</v>
      </c>
      <c r="H282" s="9">
        <v>43</v>
      </c>
      <c r="I282" s="5">
        <v>24.08</v>
      </c>
      <c r="J282" s="5">
        <v>1035.44</v>
      </c>
      <c r="K282" s="5">
        <v>35.07</v>
      </c>
      <c r="L282" s="5">
        <v>226.37</v>
      </c>
      <c r="M282" s="9" t="s">
        <v>28</v>
      </c>
      <c r="N282" s="9" t="s">
        <v>35</v>
      </c>
      <c r="O282" s="9" t="s">
        <v>22</v>
      </c>
    </row>
    <row r="283" spans="1:15" x14ac:dyDescent="0.3">
      <c r="A283" s="9" t="s">
        <v>650</v>
      </c>
      <c r="B283" s="10">
        <v>54229</v>
      </c>
      <c r="C283" s="9" t="s">
        <v>438</v>
      </c>
      <c r="D283" s="9" t="str">
        <f>PROPER(E283)</f>
        <v>Germany</v>
      </c>
      <c r="E283" s="9" t="s">
        <v>207</v>
      </c>
      <c r="F283" s="9" t="s">
        <v>48</v>
      </c>
      <c r="G283" s="9" t="s">
        <v>49</v>
      </c>
      <c r="H283" s="9">
        <v>14</v>
      </c>
      <c r="I283" s="5">
        <v>69.010000000000005</v>
      </c>
      <c r="J283" s="5">
        <v>966.14</v>
      </c>
      <c r="K283" s="5">
        <v>32.67</v>
      </c>
      <c r="L283" s="5">
        <v>373.47</v>
      </c>
      <c r="M283" s="9" t="s">
        <v>28</v>
      </c>
      <c r="N283" s="9" t="s">
        <v>21</v>
      </c>
      <c r="O283" s="9" t="s">
        <v>30</v>
      </c>
    </row>
    <row r="284" spans="1:15" x14ac:dyDescent="0.3">
      <c r="A284" s="9" t="s">
        <v>651</v>
      </c>
      <c r="B284" s="10">
        <v>54259</v>
      </c>
      <c r="C284" s="9" t="s">
        <v>154</v>
      </c>
      <c r="D284" s="9" t="str">
        <f>PROPER(E284)</f>
        <v>Australia</v>
      </c>
      <c r="E284" s="9" t="s">
        <v>172</v>
      </c>
      <c r="F284" s="9" t="s">
        <v>54</v>
      </c>
      <c r="G284" s="9" t="s">
        <v>41</v>
      </c>
      <c r="H284" s="9">
        <v>29</v>
      </c>
      <c r="I284" s="5">
        <v>28.29</v>
      </c>
      <c r="J284" s="5">
        <v>820.41</v>
      </c>
      <c r="K284" s="5">
        <v>63.15</v>
      </c>
      <c r="L284" s="5">
        <v>177.26</v>
      </c>
      <c r="M284" s="9" t="s">
        <v>42</v>
      </c>
      <c r="N284" s="9" t="s">
        <v>35</v>
      </c>
      <c r="O284" s="9" t="s">
        <v>173</v>
      </c>
    </row>
    <row r="285" spans="1:15" x14ac:dyDescent="0.3">
      <c r="A285" s="9" t="s">
        <v>652</v>
      </c>
      <c r="B285" s="10">
        <v>54290</v>
      </c>
      <c r="C285" s="9" t="s">
        <v>319</v>
      </c>
      <c r="D285" s="9" t="str">
        <f>PROPER(E285)</f>
        <v>Mexico</v>
      </c>
      <c r="E285" s="9" t="s">
        <v>53</v>
      </c>
      <c r="F285" s="9" t="s">
        <v>69</v>
      </c>
      <c r="G285" s="9" t="s">
        <v>59</v>
      </c>
      <c r="H285" s="9">
        <v>29</v>
      </c>
      <c r="I285" s="5">
        <v>26.51</v>
      </c>
      <c r="J285" s="5">
        <v>768.79</v>
      </c>
      <c r="K285" s="5">
        <v>15.66</v>
      </c>
      <c r="L285" s="5">
        <v>303.63</v>
      </c>
      <c r="M285" s="9" t="s">
        <v>28</v>
      </c>
      <c r="N285" s="9" t="s">
        <v>21</v>
      </c>
      <c r="O285" s="9" t="s">
        <v>22</v>
      </c>
    </row>
    <row r="286" spans="1:15" x14ac:dyDescent="0.3">
      <c r="A286" s="9" t="s">
        <v>654</v>
      </c>
      <c r="B286" s="10">
        <v>54321</v>
      </c>
      <c r="C286" s="9" t="s">
        <v>160</v>
      </c>
      <c r="D286" s="9" t="str">
        <f>PROPER(E286)</f>
        <v>Canada</v>
      </c>
      <c r="E286" s="9" t="s">
        <v>47</v>
      </c>
      <c r="F286" s="9" t="s">
        <v>18</v>
      </c>
      <c r="G286" s="9" t="s">
        <v>19</v>
      </c>
      <c r="H286" s="9">
        <v>11</v>
      </c>
      <c r="I286" s="5">
        <v>58.07</v>
      </c>
      <c r="J286" s="5">
        <v>638.77</v>
      </c>
      <c r="K286" s="5">
        <v>43.89</v>
      </c>
      <c r="L286" s="5">
        <v>209.88</v>
      </c>
      <c r="M286" s="9" t="s">
        <v>20</v>
      </c>
      <c r="N286" s="9" t="s">
        <v>29</v>
      </c>
      <c r="O286" s="9" t="s">
        <v>22</v>
      </c>
    </row>
    <row r="287" spans="1:15" x14ac:dyDescent="0.3">
      <c r="A287" s="9" t="s">
        <v>656</v>
      </c>
      <c r="B287" s="10">
        <v>54351</v>
      </c>
      <c r="C287" s="9" t="s">
        <v>143</v>
      </c>
      <c r="D287" s="9" t="str">
        <f>PROPER(E287)</f>
        <v>Uk</v>
      </c>
      <c r="E287" s="9" t="s">
        <v>26</v>
      </c>
      <c r="F287" s="9" t="s">
        <v>40</v>
      </c>
      <c r="G287" s="9" t="s">
        <v>41</v>
      </c>
      <c r="H287" s="9">
        <v>3</v>
      </c>
      <c r="I287" s="5">
        <v>48.76</v>
      </c>
      <c r="J287" s="5">
        <v>146.28</v>
      </c>
      <c r="K287" s="5">
        <v>10.45</v>
      </c>
      <c r="L287" s="5">
        <v>39.83</v>
      </c>
      <c r="M287" s="9" t="s">
        <v>42</v>
      </c>
      <c r="N287" s="9" t="s">
        <v>29</v>
      </c>
      <c r="O287" s="9" t="s">
        <v>30</v>
      </c>
    </row>
    <row r="288" spans="1:15" x14ac:dyDescent="0.3">
      <c r="A288" s="9" t="s">
        <v>657</v>
      </c>
      <c r="B288" s="10">
        <v>54382</v>
      </c>
      <c r="C288" s="9" t="s">
        <v>223</v>
      </c>
      <c r="D288" s="9" t="str">
        <f>PROPER(E288)</f>
        <v>India</v>
      </c>
      <c r="E288" s="9" t="s">
        <v>249</v>
      </c>
      <c r="F288" s="9" t="s">
        <v>54</v>
      </c>
      <c r="G288" s="9" t="s">
        <v>41</v>
      </c>
      <c r="H288" s="9">
        <v>49</v>
      </c>
      <c r="I288" s="5">
        <v>30.46</v>
      </c>
      <c r="J288" s="5">
        <v>1492.54</v>
      </c>
      <c r="K288" s="5">
        <v>51.82</v>
      </c>
      <c r="L288" s="5">
        <v>460.72</v>
      </c>
      <c r="M288" s="9" t="s">
        <v>28</v>
      </c>
      <c r="N288" s="9" t="s">
        <v>21</v>
      </c>
      <c r="O288" s="9" t="s">
        <v>66</v>
      </c>
    </row>
    <row r="289" spans="1:15" x14ac:dyDescent="0.3">
      <c r="A289" s="9" t="s">
        <v>659</v>
      </c>
      <c r="B289" s="10">
        <v>54412</v>
      </c>
      <c r="C289" s="9" t="s">
        <v>33</v>
      </c>
      <c r="D289" s="9" t="str">
        <f>PROPER(E289)</f>
        <v>China</v>
      </c>
      <c r="E289" s="9" t="s">
        <v>63</v>
      </c>
      <c r="F289" s="9" t="s">
        <v>103</v>
      </c>
      <c r="G289" s="9" t="s">
        <v>59</v>
      </c>
      <c r="H289" s="9">
        <v>25</v>
      </c>
      <c r="I289" s="5">
        <v>35.21</v>
      </c>
      <c r="J289" s="5">
        <v>880.25</v>
      </c>
      <c r="K289" s="5">
        <v>39.799999999999997</v>
      </c>
      <c r="L289" s="5">
        <v>140.44999999999999</v>
      </c>
      <c r="M289" s="9" t="s">
        <v>42</v>
      </c>
      <c r="N289" s="9" t="s">
        <v>29</v>
      </c>
      <c r="O289" s="9" t="s">
        <v>66</v>
      </c>
    </row>
    <row r="290" spans="1:15" x14ac:dyDescent="0.3">
      <c r="A290" s="9" t="s">
        <v>660</v>
      </c>
      <c r="B290" s="10">
        <v>54443</v>
      </c>
      <c r="C290" s="9" t="s">
        <v>319</v>
      </c>
      <c r="D290" s="9" t="str">
        <f>PROPER(E290)</f>
        <v>Usa</v>
      </c>
      <c r="E290" s="9" t="s">
        <v>17</v>
      </c>
      <c r="F290" s="9" t="s">
        <v>103</v>
      </c>
      <c r="G290" s="9" t="s">
        <v>59</v>
      </c>
      <c r="H290" s="9">
        <v>37</v>
      </c>
      <c r="I290" s="5">
        <v>44.82</v>
      </c>
      <c r="J290" s="5">
        <v>1658.34</v>
      </c>
      <c r="K290" s="5">
        <v>65.75</v>
      </c>
      <c r="L290" s="5">
        <v>556.59</v>
      </c>
      <c r="M290" s="9" t="s">
        <v>28</v>
      </c>
      <c r="N290" s="9" t="s">
        <v>29</v>
      </c>
      <c r="O290" s="9" t="s">
        <v>22</v>
      </c>
    </row>
    <row r="291" spans="1:15" x14ac:dyDescent="0.3">
      <c r="A291" s="9" t="s">
        <v>662</v>
      </c>
      <c r="B291" s="10">
        <v>54474</v>
      </c>
      <c r="C291" s="9" t="s">
        <v>452</v>
      </c>
      <c r="D291" s="9" t="str">
        <f>PROPER(E291)</f>
        <v>Germany</v>
      </c>
      <c r="E291" s="9" t="s">
        <v>207</v>
      </c>
      <c r="F291" s="9" t="s">
        <v>69</v>
      </c>
      <c r="G291" s="9" t="s">
        <v>59</v>
      </c>
      <c r="H291" s="9">
        <v>11</v>
      </c>
      <c r="I291" s="5">
        <v>18.75</v>
      </c>
      <c r="J291" s="5">
        <v>206.25</v>
      </c>
      <c r="K291" s="5">
        <v>11.67</v>
      </c>
      <c r="L291" s="5">
        <v>24.08</v>
      </c>
      <c r="M291" s="9" t="s">
        <v>20</v>
      </c>
      <c r="N291" s="9" t="s">
        <v>21</v>
      </c>
      <c r="O291" s="9" t="s">
        <v>30</v>
      </c>
    </row>
    <row r="292" spans="1:15" x14ac:dyDescent="0.3">
      <c r="A292" s="9" t="s">
        <v>664</v>
      </c>
      <c r="B292" s="10">
        <v>54502</v>
      </c>
      <c r="C292" s="9" t="s">
        <v>319</v>
      </c>
      <c r="D292" s="9" t="str">
        <f>PROPER(E292)</f>
        <v>Brazil</v>
      </c>
      <c r="E292" s="9" t="s">
        <v>39</v>
      </c>
      <c r="F292" s="9" t="s">
        <v>54</v>
      </c>
      <c r="G292" s="9" t="s">
        <v>41</v>
      </c>
      <c r="H292" s="9">
        <v>37</v>
      </c>
      <c r="I292" s="5">
        <v>31.66</v>
      </c>
      <c r="J292" s="5">
        <v>1171.42</v>
      </c>
      <c r="K292" s="5">
        <v>58.95</v>
      </c>
      <c r="L292" s="5">
        <v>372.47</v>
      </c>
      <c r="M292" s="9" t="s">
        <v>42</v>
      </c>
      <c r="N292" s="9" t="s">
        <v>21</v>
      </c>
      <c r="O292" s="9" t="s">
        <v>43</v>
      </c>
    </row>
    <row r="293" spans="1:15" x14ac:dyDescent="0.3">
      <c r="A293" s="9" t="s">
        <v>665</v>
      </c>
      <c r="B293" s="10">
        <v>54533</v>
      </c>
      <c r="C293" s="9" t="s">
        <v>442</v>
      </c>
      <c r="D293" s="9" t="str">
        <f>PROPER(E293)</f>
        <v>Uk</v>
      </c>
      <c r="E293" s="9" t="s">
        <v>26</v>
      </c>
      <c r="F293" s="9" t="s">
        <v>54</v>
      </c>
      <c r="G293" s="9" t="s">
        <v>41</v>
      </c>
      <c r="H293" s="9">
        <v>17</v>
      </c>
      <c r="I293" s="5">
        <v>32.74</v>
      </c>
      <c r="J293" s="5">
        <v>556.58000000000004</v>
      </c>
      <c r="K293" s="5">
        <v>14.68</v>
      </c>
      <c r="L293" s="5">
        <v>201.9</v>
      </c>
      <c r="M293" s="9" t="s">
        <v>28</v>
      </c>
      <c r="N293" s="9" t="s">
        <v>29</v>
      </c>
      <c r="O293" s="9" t="s">
        <v>30</v>
      </c>
    </row>
    <row r="294" spans="1:15" x14ac:dyDescent="0.3">
      <c r="A294" s="9" t="s">
        <v>667</v>
      </c>
      <c r="B294" s="10">
        <v>54563</v>
      </c>
      <c r="C294" s="9" t="s">
        <v>79</v>
      </c>
      <c r="D294" s="9" t="str">
        <f>PROPER(E294)</f>
        <v>Usa</v>
      </c>
      <c r="E294" s="9" t="s">
        <v>17</v>
      </c>
      <c r="F294" s="9" t="s">
        <v>103</v>
      </c>
      <c r="G294" s="9" t="s">
        <v>59</v>
      </c>
      <c r="H294" s="9">
        <v>7</v>
      </c>
      <c r="I294" s="5">
        <v>46.64</v>
      </c>
      <c r="J294" s="5">
        <v>326.48</v>
      </c>
      <c r="K294" s="5">
        <v>25.19</v>
      </c>
      <c r="L294" s="5">
        <v>105.29</v>
      </c>
      <c r="M294" s="9" t="s">
        <v>28</v>
      </c>
      <c r="N294" s="9" t="s">
        <v>35</v>
      </c>
      <c r="O294" s="9" t="s">
        <v>22</v>
      </c>
    </row>
    <row r="295" spans="1:15" x14ac:dyDescent="0.3">
      <c r="A295" s="9" t="s">
        <v>669</v>
      </c>
      <c r="B295" s="10">
        <v>54594</v>
      </c>
      <c r="C295" s="9" t="s">
        <v>182</v>
      </c>
      <c r="D295" s="9" t="str">
        <f>PROPER(E295)</f>
        <v>Uae</v>
      </c>
      <c r="E295" s="9" t="s">
        <v>89</v>
      </c>
      <c r="F295" s="9" t="s">
        <v>27</v>
      </c>
      <c r="G295" s="9" t="s">
        <v>19</v>
      </c>
      <c r="H295" s="9">
        <v>16</v>
      </c>
      <c r="I295" s="5">
        <v>24.77</v>
      </c>
      <c r="J295" s="5">
        <v>396.32</v>
      </c>
      <c r="K295" s="5">
        <v>15.6</v>
      </c>
      <c r="L295" s="5">
        <v>92.72</v>
      </c>
      <c r="M295" s="9" t="s">
        <v>20</v>
      </c>
      <c r="N295" s="9" t="s">
        <v>35</v>
      </c>
      <c r="O295" s="9" t="s">
        <v>66</v>
      </c>
    </row>
    <row r="296" spans="1:15" x14ac:dyDescent="0.3">
      <c r="A296" s="9" t="s">
        <v>671</v>
      </c>
      <c r="B296" s="10">
        <v>54624</v>
      </c>
      <c r="C296" s="9" t="s">
        <v>72</v>
      </c>
      <c r="D296" s="9" t="str">
        <f>PROPER(E296)</f>
        <v>Mexico</v>
      </c>
      <c r="E296" s="9" t="s">
        <v>53</v>
      </c>
      <c r="F296" s="9" t="s">
        <v>48</v>
      </c>
      <c r="G296" s="9" t="s">
        <v>49</v>
      </c>
      <c r="H296" s="9">
        <v>39</v>
      </c>
      <c r="I296" s="5">
        <v>56.5</v>
      </c>
      <c r="J296" s="5">
        <v>2203.5</v>
      </c>
      <c r="K296" s="5">
        <v>141.58000000000001</v>
      </c>
      <c r="L296" s="5">
        <v>501.92</v>
      </c>
      <c r="M296" s="9" t="s">
        <v>42</v>
      </c>
      <c r="N296" s="9" t="s">
        <v>21</v>
      </c>
      <c r="O296" s="9" t="s">
        <v>22</v>
      </c>
    </row>
    <row r="297" spans="1:15" x14ac:dyDescent="0.3">
      <c r="A297" s="9" t="s">
        <v>672</v>
      </c>
      <c r="B297" s="10">
        <v>54655</v>
      </c>
      <c r="C297" s="9" t="s">
        <v>541</v>
      </c>
      <c r="D297" s="9" t="str">
        <f>PROPER(E297)</f>
        <v>India</v>
      </c>
      <c r="E297" s="9" t="s">
        <v>249</v>
      </c>
      <c r="F297" s="9" t="s">
        <v>69</v>
      </c>
      <c r="G297" s="9" t="s">
        <v>59</v>
      </c>
      <c r="H297" s="9">
        <v>1</v>
      </c>
      <c r="I297" s="5">
        <v>24.01</v>
      </c>
      <c r="J297" s="5">
        <v>24.01</v>
      </c>
      <c r="K297" s="5">
        <v>1.58</v>
      </c>
      <c r="L297" s="5">
        <v>6.93</v>
      </c>
      <c r="M297" s="9" t="s">
        <v>20</v>
      </c>
      <c r="N297" s="9" t="s">
        <v>21</v>
      </c>
      <c r="O297" s="9" t="s">
        <v>66</v>
      </c>
    </row>
    <row r="298" spans="1:15" x14ac:dyDescent="0.3">
      <c r="A298" s="9" t="s">
        <v>674</v>
      </c>
      <c r="B298" s="10">
        <v>54686</v>
      </c>
      <c r="C298" s="9" t="s">
        <v>128</v>
      </c>
      <c r="D298" s="9" t="str">
        <f>PROPER(E298)</f>
        <v>India</v>
      </c>
      <c r="E298" s="9" t="s">
        <v>249</v>
      </c>
      <c r="F298" s="9" t="s">
        <v>64</v>
      </c>
      <c r="G298" s="9" t="s">
        <v>65</v>
      </c>
      <c r="H298" s="9">
        <v>45</v>
      </c>
      <c r="I298" s="5">
        <v>35.99</v>
      </c>
      <c r="J298" s="5">
        <v>1619.55</v>
      </c>
      <c r="K298" s="5">
        <v>49.95</v>
      </c>
      <c r="L298" s="5">
        <v>444.6</v>
      </c>
      <c r="M298" s="9" t="s">
        <v>20</v>
      </c>
      <c r="N298" s="9" t="s">
        <v>29</v>
      </c>
      <c r="O298" s="9" t="s">
        <v>66</v>
      </c>
    </row>
    <row r="299" spans="1:15" x14ac:dyDescent="0.3">
      <c r="A299" s="9" t="s">
        <v>675</v>
      </c>
      <c r="B299" s="10">
        <v>54716</v>
      </c>
      <c r="C299" s="9" t="s">
        <v>232</v>
      </c>
      <c r="D299" s="9" t="str">
        <f>PROPER(E299)</f>
        <v>Singapore</v>
      </c>
      <c r="E299" s="9" t="s">
        <v>82</v>
      </c>
      <c r="F299" s="9" t="s">
        <v>54</v>
      </c>
      <c r="G299" s="9" t="s">
        <v>41</v>
      </c>
      <c r="H299" s="9">
        <v>5</v>
      </c>
      <c r="I299" s="5">
        <v>25.45</v>
      </c>
      <c r="J299" s="5">
        <v>127.25</v>
      </c>
      <c r="K299" s="5">
        <v>7.22</v>
      </c>
      <c r="L299" s="5">
        <v>20.03</v>
      </c>
      <c r="M299" s="9" t="s">
        <v>42</v>
      </c>
      <c r="N299" s="9" t="s">
        <v>35</v>
      </c>
      <c r="O299" s="9" t="s">
        <v>66</v>
      </c>
    </row>
    <row r="300" spans="1:15" x14ac:dyDescent="0.3">
      <c r="A300" s="9" t="s">
        <v>676</v>
      </c>
      <c r="B300" s="10">
        <v>54747</v>
      </c>
      <c r="C300" s="9" t="s">
        <v>128</v>
      </c>
      <c r="D300" s="9" t="str">
        <f>PROPER(E300)</f>
        <v>Japan</v>
      </c>
      <c r="E300" s="9" t="s">
        <v>93</v>
      </c>
      <c r="F300" s="9" t="s">
        <v>69</v>
      </c>
      <c r="G300" s="9" t="s">
        <v>59</v>
      </c>
      <c r="H300" s="9">
        <v>24</v>
      </c>
      <c r="I300" s="5">
        <v>19.53</v>
      </c>
      <c r="J300" s="5">
        <v>468.72</v>
      </c>
      <c r="K300" s="5">
        <v>14.12</v>
      </c>
      <c r="L300" s="5">
        <v>82.6</v>
      </c>
      <c r="M300" s="9" t="s">
        <v>20</v>
      </c>
      <c r="N300" s="9" t="s">
        <v>21</v>
      </c>
      <c r="O300" s="9" t="s">
        <v>66</v>
      </c>
    </row>
    <row r="301" spans="1:15" x14ac:dyDescent="0.3">
      <c r="A301" s="9" t="s">
        <v>677</v>
      </c>
      <c r="B301" s="10">
        <v>54777</v>
      </c>
      <c r="C301" s="9" t="s">
        <v>25</v>
      </c>
      <c r="D301" s="9" t="str">
        <f>PROPER(E301)</f>
        <v>Canada</v>
      </c>
      <c r="E301" s="9" t="s">
        <v>47</v>
      </c>
      <c r="F301" s="9" t="s">
        <v>73</v>
      </c>
      <c r="G301" s="9" t="s">
        <v>41</v>
      </c>
      <c r="H301" s="9">
        <v>28</v>
      </c>
      <c r="I301" s="5">
        <v>22.33</v>
      </c>
      <c r="J301" s="5">
        <v>625.24</v>
      </c>
      <c r="K301" s="5">
        <v>44.24</v>
      </c>
      <c r="L301" s="5">
        <v>224</v>
      </c>
      <c r="M301" s="9" t="s">
        <v>20</v>
      </c>
      <c r="N301" s="9" t="s">
        <v>21</v>
      </c>
      <c r="O301" s="9" t="s">
        <v>22</v>
      </c>
    </row>
    <row r="302" spans="1:15" x14ac:dyDescent="0.3">
      <c r="A302" s="9" t="s">
        <v>678</v>
      </c>
      <c r="B302" s="10">
        <v>54808</v>
      </c>
      <c r="C302" s="9" t="s">
        <v>114</v>
      </c>
      <c r="D302" s="9" t="str">
        <f>PROPER(E302)</f>
        <v>Italy</v>
      </c>
      <c r="E302" s="9" t="s">
        <v>34</v>
      </c>
      <c r="F302" s="9" t="s">
        <v>40</v>
      </c>
      <c r="G302" s="9" t="s">
        <v>41</v>
      </c>
      <c r="H302" s="9">
        <v>49</v>
      </c>
      <c r="I302" s="5">
        <v>39.31</v>
      </c>
      <c r="J302" s="5">
        <v>1926.19</v>
      </c>
      <c r="K302" s="5">
        <v>69.7</v>
      </c>
      <c r="L302" s="5">
        <v>288.49</v>
      </c>
      <c r="M302" s="9" t="s">
        <v>28</v>
      </c>
      <c r="N302" s="9" t="s">
        <v>21</v>
      </c>
      <c r="O302" s="9" t="s">
        <v>30</v>
      </c>
    </row>
    <row r="303" spans="1:15" x14ac:dyDescent="0.3">
      <c r="A303" s="9" t="s">
        <v>680</v>
      </c>
      <c r="B303" s="10">
        <v>54839</v>
      </c>
      <c r="C303" s="9" t="s">
        <v>257</v>
      </c>
      <c r="D303" s="9" t="str">
        <f>PROPER(E303)</f>
        <v>India</v>
      </c>
      <c r="E303" s="9" t="s">
        <v>249</v>
      </c>
      <c r="F303" s="9" t="s">
        <v>69</v>
      </c>
      <c r="G303" s="9" t="s">
        <v>59</v>
      </c>
      <c r="H303" s="9">
        <v>6</v>
      </c>
      <c r="I303" s="5">
        <v>22.95</v>
      </c>
      <c r="J303" s="5">
        <v>137.69999999999999</v>
      </c>
      <c r="K303" s="5">
        <v>5.63</v>
      </c>
      <c r="L303" s="5">
        <v>39.07</v>
      </c>
      <c r="M303" s="9" t="s">
        <v>28</v>
      </c>
      <c r="N303" s="9" t="s">
        <v>29</v>
      </c>
      <c r="O303" s="9" t="s">
        <v>66</v>
      </c>
    </row>
    <row r="304" spans="1:15" x14ac:dyDescent="0.3">
      <c r="A304" s="9" t="s">
        <v>682</v>
      </c>
      <c r="B304" s="10">
        <v>54867</v>
      </c>
      <c r="C304" s="9" t="s">
        <v>212</v>
      </c>
      <c r="D304" s="9" t="str">
        <f>PROPER(E304)</f>
        <v>Mexico</v>
      </c>
      <c r="E304" s="9" t="s">
        <v>53</v>
      </c>
      <c r="F304" s="9" t="s">
        <v>54</v>
      </c>
      <c r="G304" s="9" t="s">
        <v>41</v>
      </c>
      <c r="H304" s="9">
        <v>35</v>
      </c>
      <c r="I304" s="5">
        <v>27.72</v>
      </c>
      <c r="J304" s="5">
        <v>970.2</v>
      </c>
      <c r="K304" s="5">
        <v>61.74</v>
      </c>
      <c r="L304" s="5">
        <v>208.46</v>
      </c>
      <c r="M304" s="9" t="s">
        <v>20</v>
      </c>
      <c r="N304" s="9" t="s">
        <v>35</v>
      </c>
      <c r="O304" s="9" t="s">
        <v>22</v>
      </c>
    </row>
    <row r="305" spans="1:15" x14ac:dyDescent="0.3">
      <c r="A305" s="9" t="s">
        <v>683</v>
      </c>
      <c r="B305" s="10">
        <v>54898</v>
      </c>
      <c r="C305" s="9" t="s">
        <v>198</v>
      </c>
      <c r="D305" s="9" t="str">
        <f>PROPER(E305)</f>
        <v>China</v>
      </c>
      <c r="E305" s="9" t="s">
        <v>63</v>
      </c>
      <c r="F305" s="9" t="s">
        <v>48</v>
      </c>
      <c r="G305" s="9" t="s">
        <v>49</v>
      </c>
      <c r="H305" s="9">
        <v>34</v>
      </c>
      <c r="I305" s="5">
        <v>64.75</v>
      </c>
      <c r="J305" s="5">
        <v>2201.5</v>
      </c>
      <c r="K305" s="5">
        <v>68.05</v>
      </c>
      <c r="L305" s="5">
        <v>773.45</v>
      </c>
      <c r="M305" s="9" t="s">
        <v>42</v>
      </c>
      <c r="N305" s="9" t="s">
        <v>35</v>
      </c>
      <c r="O305" s="9" t="s">
        <v>66</v>
      </c>
    </row>
    <row r="306" spans="1:15" x14ac:dyDescent="0.3">
      <c r="A306" s="9" t="s">
        <v>684</v>
      </c>
      <c r="B306" s="10">
        <v>54928</v>
      </c>
      <c r="C306" s="9" t="s">
        <v>157</v>
      </c>
      <c r="D306" s="9" t="str">
        <f>PROPER(E306)</f>
        <v>Australia</v>
      </c>
      <c r="E306" s="9" t="s">
        <v>172</v>
      </c>
      <c r="F306" s="9" t="s">
        <v>54</v>
      </c>
      <c r="G306" s="9" t="s">
        <v>41</v>
      </c>
      <c r="H306" s="9">
        <v>49</v>
      </c>
      <c r="I306" s="5">
        <v>26.02</v>
      </c>
      <c r="J306" s="5">
        <v>1274.98</v>
      </c>
      <c r="K306" s="5">
        <v>61.84</v>
      </c>
      <c r="L306" s="5">
        <v>233.14</v>
      </c>
      <c r="M306" s="9" t="s">
        <v>42</v>
      </c>
      <c r="N306" s="9" t="s">
        <v>29</v>
      </c>
      <c r="O306" s="9" t="s">
        <v>173</v>
      </c>
    </row>
    <row r="307" spans="1:15" x14ac:dyDescent="0.3">
      <c r="A307" s="9" t="s">
        <v>686</v>
      </c>
      <c r="B307" s="10">
        <v>54959</v>
      </c>
      <c r="C307" s="9" t="s">
        <v>358</v>
      </c>
      <c r="D307" s="9" t="str">
        <f>PROPER(E307)</f>
        <v>Brazil</v>
      </c>
      <c r="E307" s="9" t="s">
        <v>39</v>
      </c>
      <c r="F307" s="9" t="s">
        <v>64</v>
      </c>
      <c r="G307" s="9" t="s">
        <v>65</v>
      </c>
      <c r="H307" s="9">
        <v>1</v>
      </c>
      <c r="I307" s="5">
        <v>32.979999999999997</v>
      </c>
      <c r="J307" s="5">
        <v>32.979999999999997</v>
      </c>
      <c r="K307" s="5">
        <v>1.89</v>
      </c>
      <c r="L307" s="5">
        <v>6.09</v>
      </c>
      <c r="M307" s="9" t="s">
        <v>42</v>
      </c>
      <c r="N307" s="9" t="s">
        <v>29</v>
      </c>
      <c r="O307" s="9" t="s">
        <v>43</v>
      </c>
    </row>
    <row r="308" spans="1:15" x14ac:dyDescent="0.3">
      <c r="A308" s="9" t="s">
        <v>687</v>
      </c>
      <c r="B308" s="10">
        <v>54989</v>
      </c>
      <c r="C308" s="9" t="s">
        <v>466</v>
      </c>
      <c r="D308" s="9" t="str">
        <f>PROPER(E308)</f>
        <v>Brazil</v>
      </c>
      <c r="E308" s="9" t="s">
        <v>39</v>
      </c>
      <c r="F308" s="9" t="s">
        <v>73</v>
      </c>
      <c r="G308" s="9" t="s">
        <v>41</v>
      </c>
      <c r="H308" s="9">
        <v>18</v>
      </c>
      <c r="I308" s="5">
        <v>20.09</v>
      </c>
      <c r="J308" s="5">
        <v>361.62</v>
      </c>
      <c r="K308" s="5">
        <v>8.3800000000000008</v>
      </c>
      <c r="L308" s="5">
        <v>123.74</v>
      </c>
      <c r="M308" s="9" t="s">
        <v>20</v>
      </c>
      <c r="N308" s="9" t="s">
        <v>21</v>
      </c>
      <c r="O308" s="9" t="s">
        <v>43</v>
      </c>
    </row>
    <row r="309" spans="1:15" x14ac:dyDescent="0.3">
      <c r="A309" s="9" t="s">
        <v>688</v>
      </c>
      <c r="B309" s="10">
        <v>55020</v>
      </c>
      <c r="C309" s="9" t="s">
        <v>232</v>
      </c>
      <c r="D309" s="9" t="str">
        <f>PROPER(E309)</f>
        <v>India</v>
      </c>
      <c r="E309" s="9" t="s">
        <v>249</v>
      </c>
      <c r="F309" s="9" t="s">
        <v>18</v>
      </c>
      <c r="G309" s="9" t="s">
        <v>19</v>
      </c>
      <c r="H309" s="9">
        <v>39</v>
      </c>
      <c r="I309" s="5">
        <v>49.59</v>
      </c>
      <c r="J309" s="5">
        <v>1934.01</v>
      </c>
      <c r="K309" s="5">
        <v>62.79</v>
      </c>
      <c r="L309" s="5">
        <v>506.22</v>
      </c>
      <c r="M309" s="9" t="s">
        <v>28</v>
      </c>
      <c r="N309" s="9" t="s">
        <v>29</v>
      </c>
      <c r="O309" s="9" t="s">
        <v>66</v>
      </c>
    </row>
    <row r="310" spans="1:15" x14ac:dyDescent="0.3">
      <c r="A310" s="9" t="s">
        <v>689</v>
      </c>
      <c r="B310" s="10">
        <v>55051</v>
      </c>
      <c r="C310" s="9" t="s">
        <v>429</v>
      </c>
      <c r="D310" s="9" t="str">
        <f>PROPER(E310)</f>
        <v>Canada</v>
      </c>
      <c r="E310" s="9" t="s">
        <v>47</v>
      </c>
      <c r="F310" s="9" t="s">
        <v>40</v>
      </c>
      <c r="G310" s="9" t="s">
        <v>41</v>
      </c>
      <c r="H310" s="9">
        <v>6</v>
      </c>
      <c r="I310" s="5">
        <v>41.99</v>
      </c>
      <c r="J310" s="5">
        <v>251.94</v>
      </c>
      <c r="K310" s="5">
        <v>10.76</v>
      </c>
      <c r="L310" s="5">
        <v>49.18</v>
      </c>
      <c r="M310" s="9" t="s">
        <v>20</v>
      </c>
      <c r="N310" s="9" t="s">
        <v>21</v>
      </c>
      <c r="O310" s="9" t="s">
        <v>22</v>
      </c>
    </row>
    <row r="311" spans="1:15" x14ac:dyDescent="0.3">
      <c r="A311" s="9" t="s">
        <v>691</v>
      </c>
      <c r="B311" s="10">
        <v>55081</v>
      </c>
      <c r="C311" s="9" t="s">
        <v>79</v>
      </c>
      <c r="D311" s="9" t="str">
        <f>PROPER(E311)</f>
        <v>Singapore</v>
      </c>
      <c r="E311" s="9" t="s">
        <v>82</v>
      </c>
      <c r="F311" s="9" t="s">
        <v>18</v>
      </c>
      <c r="G311" s="9" t="s">
        <v>19</v>
      </c>
      <c r="H311" s="9">
        <v>12</v>
      </c>
      <c r="I311" s="5">
        <v>47.4</v>
      </c>
      <c r="J311" s="5">
        <v>568.79999999999995</v>
      </c>
      <c r="K311" s="5">
        <v>23.31</v>
      </c>
      <c r="L311" s="5">
        <v>125.49</v>
      </c>
      <c r="M311" s="9" t="s">
        <v>42</v>
      </c>
      <c r="N311" s="9" t="s">
        <v>21</v>
      </c>
      <c r="O311" s="9" t="s">
        <v>66</v>
      </c>
    </row>
    <row r="312" spans="1:15" x14ac:dyDescent="0.3">
      <c r="A312" s="9" t="s">
        <v>692</v>
      </c>
      <c r="B312" s="10">
        <v>55112</v>
      </c>
      <c r="C312" s="9" t="s">
        <v>363</v>
      </c>
      <c r="D312" s="9" t="str">
        <f>PROPER(E312)</f>
        <v>Uae</v>
      </c>
      <c r="E312" s="9" t="s">
        <v>89</v>
      </c>
      <c r="F312" s="9" t="s">
        <v>54</v>
      </c>
      <c r="G312" s="9" t="s">
        <v>41</v>
      </c>
      <c r="H312" s="9">
        <v>50</v>
      </c>
      <c r="I312" s="5">
        <v>34.28</v>
      </c>
      <c r="J312" s="5">
        <v>1714</v>
      </c>
      <c r="K312" s="5">
        <v>59.84</v>
      </c>
      <c r="L312" s="5">
        <v>654.16</v>
      </c>
      <c r="M312" s="9" t="s">
        <v>20</v>
      </c>
      <c r="N312" s="9" t="s">
        <v>21</v>
      </c>
      <c r="O312" s="9" t="s">
        <v>66</v>
      </c>
    </row>
    <row r="313" spans="1:15" x14ac:dyDescent="0.3">
      <c r="A313" s="9" t="s">
        <v>694</v>
      </c>
      <c r="B313" s="10">
        <v>55142</v>
      </c>
      <c r="C313" s="9" t="s">
        <v>290</v>
      </c>
      <c r="D313" s="9" t="str">
        <f>PROPER(E313)</f>
        <v>South Africa</v>
      </c>
      <c r="E313" s="9" t="s">
        <v>107</v>
      </c>
      <c r="F313" s="9" t="s">
        <v>27</v>
      </c>
      <c r="G313" s="9" t="s">
        <v>19</v>
      </c>
      <c r="H313" s="9">
        <v>50</v>
      </c>
      <c r="I313" s="5">
        <v>29.39</v>
      </c>
      <c r="J313" s="5">
        <v>1469.5</v>
      </c>
      <c r="K313" s="5">
        <v>101.51</v>
      </c>
      <c r="L313" s="5">
        <v>467.99</v>
      </c>
      <c r="M313" s="9" t="s">
        <v>42</v>
      </c>
      <c r="N313" s="9" t="s">
        <v>35</v>
      </c>
      <c r="O313" s="9" t="s">
        <v>108</v>
      </c>
    </row>
    <row r="314" spans="1:15" x14ac:dyDescent="0.3">
      <c r="A314" s="9" t="s">
        <v>696</v>
      </c>
      <c r="B314" s="10">
        <v>55173</v>
      </c>
      <c r="C314" s="9" t="s">
        <v>148</v>
      </c>
      <c r="D314" s="9" t="str">
        <f>PROPER(E314)</f>
        <v>Brazil</v>
      </c>
      <c r="E314" s="9" t="s">
        <v>39</v>
      </c>
      <c r="F314" s="9" t="s">
        <v>27</v>
      </c>
      <c r="G314" s="9" t="s">
        <v>19</v>
      </c>
      <c r="H314" s="9">
        <v>46</v>
      </c>
      <c r="I314" s="5">
        <v>30.34</v>
      </c>
      <c r="J314" s="5">
        <v>1395.64</v>
      </c>
      <c r="K314" s="5">
        <v>104.2</v>
      </c>
      <c r="L314" s="5">
        <v>463.44</v>
      </c>
      <c r="M314" s="9" t="s">
        <v>20</v>
      </c>
      <c r="N314" s="9" t="s">
        <v>29</v>
      </c>
      <c r="O314" s="9" t="s">
        <v>43</v>
      </c>
    </row>
    <row r="315" spans="1:15" x14ac:dyDescent="0.3">
      <c r="A315" s="9" t="s">
        <v>697</v>
      </c>
      <c r="B315" s="10">
        <v>55204</v>
      </c>
      <c r="C315" s="9" t="s">
        <v>699</v>
      </c>
      <c r="D315" s="9" t="str">
        <f>PROPER(E315)</f>
        <v>Singapore</v>
      </c>
      <c r="E315" s="9" t="s">
        <v>82</v>
      </c>
      <c r="F315" s="9" t="s">
        <v>73</v>
      </c>
      <c r="G315" s="9" t="s">
        <v>41</v>
      </c>
      <c r="H315" s="9">
        <v>50</v>
      </c>
      <c r="I315" s="5">
        <v>18.809999999999999</v>
      </c>
      <c r="J315" s="5">
        <v>940.5</v>
      </c>
      <c r="K315" s="5">
        <v>40.25</v>
      </c>
      <c r="L315" s="5">
        <v>262.75</v>
      </c>
      <c r="M315" s="9" t="s">
        <v>28</v>
      </c>
      <c r="N315" s="9" t="s">
        <v>29</v>
      </c>
      <c r="O315" s="9" t="s">
        <v>66</v>
      </c>
    </row>
    <row r="316" spans="1:15" x14ac:dyDescent="0.3">
      <c r="A316" s="9" t="s">
        <v>700</v>
      </c>
      <c r="B316" s="10">
        <v>55232</v>
      </c>
      <c r="C316" s="9" t="s">
        <v>290</v>
      </c>
      <c r="D316" s="9" t="str">
        <f>PROPER(E316)</f>
        <v>Australia</v>
      </c>
      <c r="E316" s="9" t="s">
        <v>172</v>
      </c>
      <c r="F316" s="9" t="s">
        <v>58</v>
      </c>
      <c r="G316" s="9" t="s">
        <v>59</v>
      </c>
      <c r="H316" s="9">
        <v>2</v>
      </c>
      <c r="I316" s="5">
        <v>29.64</v>
      </c>
      <c r="J316" s="5">
        <v>59.28</v>
      </c>
      <c r="K316" s="5">
        <v>4.59</v>
      </c>
      <c r="L316" s="5">
        <v>9.69</v>
      </c>
      <c r="M316" s="9" t="s">
        <v>28</v>
      </c>
      <c r="N316" s="9" t="s">
        <v>35</v>
      </c>
      <c r="O316" s="9" t="s">
        <v>173</v>
      </c>
    </row>
    <row r="317" spans="1:15" x14ac:dyDescent="0.3">
      <c r="A317" s="9" t="s">
        <v>702</v>
      </c>
      <c r="B317" s="10">
        <v>55263</v>
      </c>
      <c r="C317" s="9" t="s">
        <v>541</v>
      </c>
      <c r="D317" s="9" t="str">
        <f>PROPER(E317)</f>
        <v>Singapore</v>
      </c>
      <c r="E317" s="9" t="s">
        <v>82</v>
      </c>
      <c r="F317" s="9" t="s">
        <v>58</v>
      </c>
      <c r="G317" s="9" t="s">
        <v>59</v>
      </c>
      <c r="H317" s="9">
        <v>48</v>
      </c>
      <c r="I317" s="5">
        <v>27.9</v>
      </c>
      <c r="J317" s="5">
        <v>1339.2</v>
      </c>
      <c r="K317" s="5">
        <v>66.31</v>
      </c>
      <c r="L317" s="5">
        <v>192.89</v>
      </c>
      <c r="M317" s="9" t="s">
        <v>28</v>
      </c>
      <c r="N317" s="9" t="s">
        <v>35</v>
      </c>
      <c r="O317" s="9" t="s">
        <v>66</v>
      </c>
    </row>
    <row r="318" spans="1:15" x14ac:dyDescent="0.3">
      <c r="A318" s="9" t="s">
        <v>704</v>
      </c>
      <c r="B318" s="10">
        <v>55293</v>
      </c>
      <c r="C318" s="9" t="s">
        <v>432</v>
      </c>
      <c r="D318" s="9" t="str">
        <f>PROPER(E318)</f>
        <v>France</v>
      </c>
      <c r="E318" s="9" t="s">
        <v>137</v>
      </c>
      <c r="F318" s="9" t="s">
        <v>64</v>
      </c>
      <c r="G318" s="9" t="s">
        <v>65</v>
      </c>
      <c r="H318" s="9">
        <v>28</v>
      </c>
      <c r="I318" s="5">
        <v>38.520000000000003</v>
      </c>
      <c r="J318" s="5">
        <v>1078.56</v>
      </c>
      <c r="K318" s="5">
        <v>64.510000000000005</v>
      </c>
      <c r="L318" s="5">
        <v>314.05</v>
      </c>
      <c r="M318" s="9" t="s">
        <v>20</v>
      </c>
      <c r="N318" s="9" t="s">
        <v>29</v>
      </c>
      <c r="O318" s="9" t="s">
        <v>30</v>
      </c>
    </row>
    <row r="319" spans="1:15" x14ac:dyDescent="0.3">
      <c r="A319" s="9" t="s">
        <v>705</v>
      </c>
      <c r="B319" s="10">
        <v>55324</v>
      </c>
      <c r="C319" s="9" t="s">
        <v>255</v>
      </c>
      <c r="D319" s="9" t="str">
        <f>PROPER(E319)</f>
        <v>Uk</v>
      </c>
      <c r="E319" s="9" t="s">
        <v>26</v>
      </c>
      <c r="F319" s="9" t="s">
        <v>58</v>
      </c>
      <c r="G319" s="9" t="s">
        <v>59</v>
      </c>
      <c r="H319" s="9">
        <v>11</v>
      </c>
      <c r="I319" s="5">
        <v>31.08</v>
      </c>
      <c r="J319" s="5">
        <v>341.88</v>
      </c>
      <c r="K319" s="5">
        <v>17.18</v>
      </c>
      <c r="L319" s="5">
        <v>77.2</v>
      </c>
      <c r="M319" s="9" t="s">
        <v>42</v>
      </c>
      <c r="N319" s="9" t="s">
        <v>35</v>
      </c>
      <c r="O319" s="9" t="s">
        <v>30</v>
      </c>
    </row>
    <row r="320" spans="1:15" x14ac:dyDescent="0.3">
      <c r="A320" s="9" t="s">
        <v>706</v>
      </c>
      <c r="B320" s="10">
        <v>55354</v>
      </c>
      <c r="C320" s="9" t="s">
        <v>358</v>
      </c>
      <c r="D320" s="9" t="str">
        <f>PROPER(E320)</f>
        <v>Mexico</v>
      </c>
      <c r="E320" s="9" t="s">
        <v>53</v>
      </c>
      <c r="F320" s="9" t="s">
        <v>54</v>
      </c>
      <c r="G320" s="9" t="s">
        <v>41</v>
      </c>
      <c r="H320" s="9">
        <v>42</v>
      </c>
      <c r="I320" s="5">
        <v>25.95</v>
      </c>
      <c r="J320" s="5">
        <v>1089.9000000000001</v>
      </c>
      <c r="K320" s="5">
        <v>27.5</v>
      </c>
      <c r="L320" s="5">
        <v>222.4</v>
      </c>
      <c r="M320" s="9" t="s">
        <v>42</v>
      </c>
      <c r="N320" s="9" t="s">
        <v>35</v>
      </c>
      <c r="O320" s="9" t="s">
        <v>22</v>
      </c>
    </row>
    <row r="321" spans="1:15" x14ac:dyDescent="0.3">
      <c r="A321" s="9" t="s">
        <v>708</v>
      </c>
      <c r="B321" s="10">
        <v>55385</v>
      </c>
      <c r="C321" s="9" t="s">
        <v>597</v>
      </c>
      <c r="D321" s="9" t="str">
        <f>PROPER(E321)</f>
        <v>Singapore</v>
      </c>
      <c r="E321" s="9" t="s">
        <v>82</v>
      </c>
      <c r="F321" s="9" t="s">
        <v>64</v>
      </c>
      <c r="G321" s="9" t="s">
        <v>65</v>
      </c>
      <c r="H321" s="9">
        <v>30</v>
      </c>
      <c r="I321" s="5">
        <v>30.16</v>
      </c>
      <c r="J321" s="5">
        <v>904.8</v>
      </c>
      <c r="K321" s="5">
        <v>70.13</v>
      </c>
      <c r="L321" s="5">
        <v>84.67</v>
      </c>
      <c r="M321" s="9" t="s">
        <v>28</v>
      </c>
      <c r="N321" s="9" t="s">
        <v>21</v>
      </c>
      <c r="O321" s="9" t="s">
        <v>66</v>
      </c>
    </row>
    <row r="322" spans="1:15" x14ac:dyDescent="0.3">
      <c r="A322" s="9" t="s">
        <v>709</v>
      </c>
      <c r="B322" s="10">
        <v>55416</v>
      </c>
      <c r="C322" s="9" t="s">
        <v>710</v>
      </c>
      <c r="D322" s="9" t="str">
        <f>PROPER(E322)</f>
        <v>Brazil</v>
      </c>
      <c r="E322" s="9" t="s">
        <v>39</v>
      </c>
      <c r="F322" s="9" t="s">
        <v>54</v>
      </c>
      <c r="G322" s="9" t="s">
        <v>41</v>
      </c>
      <c r="H322" s="9">
        <v>40</v>
      </c>
      <c r="I322" s="5">
        <v>30.03</v>
      </c>
      <c r="J322" s="5">
        <v>1201.2</v>
      </c>
      <c r="K322" s="5">
        <v>71.97</v>
      </c>
      <c r="L322" s="5">
        <v>329.23</v>
      </c>
      <c r="M322" s="9" t="s">
        <v>28</v>
      </c>
      <c r="N322" s="9" t="s">
        <v>21</v>
      </c>
      <c r="O322" s="9" t="s">
        <v>43</v>
      </c>
    </row>
    <row r="323" spans="1:15" x14ac:dyDescent="0.3">
      <c r="A323" s="9" t="s">
        <v>711</v>
      </c>
      <c r="B323" s="10">
        <v>55446</v>
      </c>
      <c r="C323" s="9" t="s">
        <v>128</v>
      </c>
      <c r="D323" s="9" t="str">
        <f>PROPER(E323)</f>
        <v>South Africa</v>
      </c>
      <c r="E323" s="9" t="s">
        <v>107</v>
      </c>
      <c r="F323" s="9" t="s">
        <v>54</v>
      </c>
      <c r="G323" s="9" t="s">
        <v>41</v>
      </c>
      <c r="H323" s="9">
        <v>15</v>
      </c>
      <c r="I323" s="5">
        <v>27.12</v>
      </c>
      <c r="J323" s="5">
        <v>406.8</v>
      </c>
      <c r="K323" s="5">
        <v>24.28</v>
      </c>
      <c r="L323" s="5">
        <v>82.52</v>
      </c>
      <c r="M323" s="9" t="s">
        <v>28</v>
      </c>
      <c r="N323" s="9" t="s">
        <v>29</v>
      </c>
      <c r="O323" s="9" t="s">
        <v>108</v>
      </c>
    </row>
    <row r="324" spans="1:15" x14ac:dyDescent="0.3">
      <c r="A324" s="9" t="s">
        <v>713</v>
      </c>
      <c r="B324" s="10">
        <v>55477</v>
      </c>
      <c r="C324" s="9" t="s">
        <v>223</v>
      </c>
      <c r="D324" s="9" t="str">
        <f>PROPER(E324)</f>
        <v>France</v>
      </c>
      <c r="E324" s="9" t="s">
        <v>137</v>
      </c>
      <c r="F324" s="9" t="s">
        <v>73</v>
      </c>
      <c r="G324" s="9" t="s">
        <v>41</v>
      </c>
      <c r="H324" s="9">
        <v>35</v>
      </c>
      <c r="I324" s="5">
        <v>18.350000000000001</v>
      </c>
      <c r="J324" s="5">
        <v>642.25</v>
      </c>
      <c r="K324" s="5">
        <v>29.35</v>
      </c>
      <c r="L324" s="5">
        <v>166.65</v>
      </c>
      <c r="M324" s="9" t="s">
        <v>20</v>
      </c>
      <c r="N324" s="9" t="s">
        <v>29</v>
      </c>
      <c r="O324" s="9" t="s">
        <v>30</v>
      </c>
    </row>
    <row r="325" spans="1:15" x14ac:dyDescent="0.3">
      <c r="A325" s="9" t="s">
        <v>714</v>
      </c>
      <c r="B325" s="10">
        <v>55507</v>
      </c>
      <c r="C325" s="9" t="s">
        <v>613</v>
      </c>
      <c r="D325" s="9" t="str">
        <f>PROPER(E325)</f>
        <v>South Africa</v>
      </c>
      <c r="E325" s="9" t="s">
        <v>107</v>
      </c>
      <c r="F325" s="9" t="s">
        <v>18</v>
      </c>
      <c r="G325" s="9" t="s">
        <v>19</v>
      </c>
      <c r="H325" s="9">
        <v>21</v>
      </c>
      <c r="I325" s="5">
        <v>52.59</v>
      </c>
      <c r="J325" s="5">
        <v>1104.3900000000001</v>
      </c>
      <c r="K325" s="5">
        <v>57.06</v>
      </c>
      <c r="L325" s="5">
        <v>312.33</v>
      </c>
      <c r="M325" s="9" t="s">
        <v>28</v>
      </c>
      <c r="N325" s="9" t="s">
        <v>29</v>
      </c>
      <c r="O325" s="9" t="s">
        <v>108</v>
      </c>
    </row>
    <row r="326" spans="1:15" x14ac:dyDescent="0.3">
      <c r="A326" s="9" t="s">
        <v>715</v>
      </c>
      <c r="B326" s="10">
        <v>55538</v>
      </c>
      <c r="C326" s="9" t="s">
        <v>541</v>
      </c>
      <c r="D326" s="9" t="str">
        <f>PROPER(E326)</f>
        <v>China</v>
      </c>
      <c r="E326" s="9" t="s">
        <v>63</v>
      </c>
      <c r="F326" s="9" t="s">
        <v>103</v>
      </c>
      <c r="G326" s="9" t="s">
        <v>59</v>
      </c>
      <c r="H326" s="9">
        <v>10</v>
      </c>
      <c r="I326" s="5">
        <v>44.2</v>
      </c>
      <c r="J326" s="5">
        <v>442</v>
      </c>
      <c r="K326" s="5">
        <v>18.45</v>
      </c>
      <c r="L326" s="5">
        <v>143.55000000000001</v>
      </c>
      <c r="M326" s="9" t="s">
        <v>20</v>
      </c>
      <c r="N326" s="9" t="s">
        <v>21</v>
      </c>
      <c r="O326" s="9" t="s">
        <v>66</v>
      </c>
    </row>
    <row r="327" spans="1:15" x14ac:dyDescent="0.3">
      <c r="A327" s="9" t="s">
        <v>717</v>
      </c>
      <c r="B327" s="10">
        <v>55569</v>
      </c>
      <c r="C327" s="9" t="s">
        <v>298</v>
      </c>
      <c r="D327" s="9" t="str">
        <f>PROPER(E327)</f>
        <v>China</v>
      </c>
      <c r="E327" s="9" t="s">
        <v>63</v>
      </c>
      <c r="F327" s="9" t="s">
        <v>18</v>
      </c>
      <c r="G327" s="9" t="s">
        <v>19</v>
      </c>
      <c r="H327" s="9">
        <v>11</v>
      </c>
      <c r="I327" s="5">
        <v>60.9</v>
      </c>
      <c r="J327" s="5">
        <v>669.9</v>
      </c>
      <c r="K327" s="5">
        <v>26.28</v>
      </c>
      <c r="L327" s="5">
        <v>258.62</v>
      </c>
      <c r="M327" s="9" t="s">
        <v>28</v>
      </c>
      <c r="N327" s="9" t="s">
        <v>29</v>
      </c>
      <c r="O327" s="9" t="s">
        <v>66</v>
      </c>
    </row>
    <row r="328" spans="1:15" x14ac:dyDescent="0.3">
      <c r="A328" s="9" t="s">
        <v>718</v>
      </c>
      <c r="B328" s="10">
        <v>55598</v>
      </c>
      <c r="C328" s="9" t="s">
        <v>62</v>
      </c>
      <c r="D328" s="9" t="str">
        <f>PROPER(E328)</f>
        <v>Uae</v>
      </c>
      <c r="E328" s="9" t="s">
        <v>89</v>
      </c>
      <c r="F328" s="9" t="s">
        <v>73</v>
      </c>
      <c r="G328" s="9" t="s">
        <v>41</v>
      </c>
      <c r="H328" s="9">
        <v>26</v>
      </c>
      <c r="I328" s="5">
        <v>22.32</v>
      </c>
      <c r="J328" s="5">
        <v>580.32000000000005</v>
      </c>
      <c r="K328" s="5">
        <v>45.08</v>
      </c>
      <c r="L328" s="5">
        <v>203.74</v>
      </c>
      <c r="M328" s="9" t="s">
        <v>28</v>
      </c>
      <c r="N328" s="9" t="s">
        <v>29</v>
      </c>
      <c r="O328" s="9" t="s">
        <v>66</v>
      </c>
    </row>
    <row r="329" spans="1:15" x14ac:dyDescent="0.3">
      <c r="A329" s="9" t="s">
        <v>720</v>
      </c>
      <c r="B329" s="10">
        <v>55629</v>
      </c>
      <c r="C329" s="9" t="s">
        <v>384</v>
      </c>
      <c r="D329" s="9" t="str">
        <f>PROPER(E329)</f>
        <v>China</v>
      </c>
      <c r="E329" s="9" t="s">
        <v>63</v>
      </c>
      <c r="F329" s="9" t="s">
        <v>103</v>
      </c>
      <c r="G329" s="9" t="s">
        <v>59</v>
      </c>
      <c r="H329" s="9">
        <v>46</v>
      </c>
      <c r="I329" s="5">
        <v>41.89</v>
      </c>
      <c r="J329" s="5">
        <v>1926.94</v>
      </c>
      <c r="K329" s="5">
        <v>97.39</v>
      </c>
      <c r="L329" s="5">
        <v>541.54999999999995</v>
      </c>
      <c r="M329" s="9" t="s">
        <v>20</v>
      </c>
      <c r="N329" s="9" t="s">
        <v>35</v>
      </c>
      <c r="O329" s="9" t="s">
        <v>66</v>
      </c>
    </row>
    <row r="330" spans="1:15" x14ac:dyDescent="0.3">
      <c r="A330" s="9" t="s">
        <v>722</v>
      </c>
      <c r="B330" s="10">
        <v>55659</v>
      </c>
      <c r="C330" s="9" t="s">
        <v>243</v>
      </c>
      <c r="D330" s="9" t="str">
        <f>PROPER(E330)</f>
        <v>Uk</v>
      </c>
      <c r="E330" s="9" t="s">
        <v>26</v>
      </c>
      <c r="F330" s="9" t="s">
        <v>73</v>
      </c>
      <c r="G330" s="9" t="s">
        <v>41</v>
      </c>
      <c r="H330" s="9">
        <v>43</v>
      </c>
      <c r="I330" s="5">
        <v>21.24</v>
      </c>
      <c r="J330" s="5">
        <v>913.32</v>
      </c>
      <c r="K330" s="5">
        <v>50.32</v>
      </c>
      <c r="L330" s="5">
        <v>314.75</v>
      </c>
      <c r="M330" s="9" t="s">
        <v>28</v>
      </c>
      <c r="N330" s="9" t="s">
        <v>21</v>
      </c>
      <c r="O330" s="9" t="s">
        <v>30</v>
      </c>
    </row>
    <row r="331" spans="1:15" x14ac:dyDescent="0.3">
      <c r="A331" s="9" t="s">
        <v>723</v>
      </c>
      <c r="B331" s="10">
        <v>55690</v>
      </c>
      <c r="C331" s="9" t="s">
        <v>724</v>
      </c>
      <c r="D331" s="9" t="str">
        <f>PROPER(E331)</f>
        <v>Germany</v>
      </c>
      <c r="E331" s="9" t="s">
        <v>207</v>
      </c>
      <c r="F331" s="9" t="s">
        <v>58</v>
      </c>
      <c r="G331" s="9" t="s">
        <v>59</v>
      </c>
      <c r="H331" s="9">
        <v>28</v>
      </c>
      <c r="I331" s="5">
        <v>33.700000000000003</v>
      </c>
      <c r="J331" s="5">
        <v>943.6</v>
      </c>
      <c r="K331" s="5">
        <v>20.170000000000002</v>
      </c>
      <c r="L331" s="5">
        <v>293.43</v>
      </c>
      <c r="M331" s="9" t="s">
        <v>20</v>
      </c>
      <c r="N331" s="9" t="s">
        <v>29</v>
      </c>
      <c r="O331" s="9" t="s">
        <v>30</v>
      </c>
    </row>
    <row r="332" spans="1:15" x14ac:dyDescent="0.3">
      <c r="A332" s="9" t="s">
        <v>725</v>
      </c>
      <c r="B332" s="10">
        <v>55720</v>
      </c>
      <c r="C332" s="9" t="s">
        <v>301</v>
      </c>
      <c r="D332" s="9" t="str">
        <f>PROPER(E332)</f>
        <v>India</v>
      </c>
      <c r="E332" s="9" t="s">
        <v>249</v>
      </c>
      <c r="F332" s="9" t="s">
        <v>18</v>
      </c>
      <c r="G332" s="9" t="s">
        <v>19</v>
      </c>
      <c r="H332" s="9">
        <v>41</v>
      </c>
      <c r="I332" s="5">
        <v>42.74</v>
      </c>
      <c r="J332" s="5">
        <v>1752.34</v>
      </c>
      <c r="K332" s="5">
        <v>92.09</v>
      </c>
      <c r="L332" s="5">
        <v>225.25</v>
      </c>
      <c r="M332" s="9" t="s">
        <v>42</v>
      </c>
      <c r="N332" s="9" t="s">
        <v>21</v>
      </c>
      <c r="O332" s="9" t="s">
        <v>66</v>
      </c>
    </row>
    <row r="333" spans="1:15" x14ac:dyDescent="0.3">
      <c r="A333" s="9" t="s">
        <v>727</v>
      </c>
      <c r="B333" s="10">
        <v>55751</v>
      </c>
      <c r="C333" s="9" t="s">
        <v>613</v>
      </c>
      <c r="D333" s="9" t="str">
        <f>PROPER(E333)</f>
        <v>Uk</v>
      </c>
      <c r="E333" s="9" t="s">
        <v>26</v>
      </c>
      <c r="F333" s="9" t="s">
        <v>54</v>
      </c>
      <c r="G333" s="9" t="s">
        <v>41</v>
      </c>
      <c r="H333" s="9">
        <v>24</v>
      </c>
      <c r="I333" s="5">
        <v>30.18</v>
      </c>
      <c r="J333" s="5">
        <v>724.32</v>
      </c>
      <c r="K333" s="5">
        <v>44.97</v>
      </c>
      <c r="L333" s="5">
        <v>199.35</v>
      </c>
      <c r="M333" s="9" t="s">
        <v>20</v>
      </c>
      <c r="N333" s="9" t="s">
        <v>21</v>
      </c>
      <c r="O333" s="9" t="s">
        <v>30</v>
      </c>
    </row>
    <row r="334" spans="1:15" x14ac:dyDescent="0.3">
      <c r="A334" s="9" t="s">
        <v>729</v>
      </c>
      <c r="B334" s="10">
        <v>55782</v>
      </c>
      <c r="C334" s="9" t="s">
        <v>143</v>
      </c>
      <c r="D334" s="9" t="str">
        <f>PROPER(E334)</f>
        <v>Japan</v>
      </c>
      <c r="E334" s="9" t="s">
        <v>93</v>
      </c>
      <c r="F334" s="9" t="s">
        <v>69</v>
      </c>
      <c r="G334" s="9" t="s">
        <v>59</v>
      </c>
      <c r="H334" s="9">
        <v>44</v>
      </c>
      <c r="I334" s="5">
        <v>20.02</v>
      </c>
      <c r="J334" s="5">
        <v>880.88</v>
      </c>
      <c r="K334" s="5">
        <v>60.27</v>
      </c>
      <c r="L334" s="5">
        <v>138.61000000000001</v>
      </c>
      <c r="M334" s="9" t="s">
        <v>28</v>
      </c>
      <c r="N334" s="9" t="s">
        <v>29</v>
      </c>
      <c r="O334" s="9" t="s">
        <v>66</v>
      </c>
    </row>
    <row r="335" spans="1:15" x14ac:dyDescent="0.3">
      <c r="A335" s="9" t="s">
        <v>730</v>
      </c>
      <c r="B335" s="10">
        <v>55812</v>
      </c>
      <c r="C335" s="9" t="s">
        <v>140</v>
      </c>
      <c r="D335" s="9" t="str">
        <f>PROPER(E335)</f>
        <v>Uk</v>
      </c>
      <c r="E335" s="9" t="s">
        <v>26</v>
      </c>
      <c r="F335" s="9" t="s">
        <v>54</v>
      </c>
      <c r="G335" s="9" t="s">
        <v>41</v>
      </c>
      <c r="H335" s="9">
        <v>12</v>
      </c>
      <c r="I335" s="5">
        <v>27.45</v>
      </c>
      <c r="J335" s="5">
        <v>329.4</v>
      </c>
      <c r="K335" s="5">
        <v>13.22</v>
      </c>
      <c r="L335" s="5">
        <v>76.180000000000007</v>
      </c>
      <c r="M335" s="9" t="s">
        <v>42</v>
      </c>
      <c r="N335" s="9" t="s">
        <v>35</v>
      </c>
      <c r="O335" s="9" t="s">
        <v>30</v>
      </c>
    </row>
    <row r="336" spans="1:15" x14ac:dyDescent="0.3">
      <c r="A336" s="9" t="s">
        <v>731</v>
      </c>
      <c r="B336" s="10">
        <v>55843</v>
      </c>
      <c r="C336" s="9" t="s">
        <v>111</v>
      </c>
      <c r="D336" s="9" t="str">
        <f>PROPER(E336)</f>
        <v>South Africa</v>
      </c>
      <c r="E336" s="9" t="s">
        <v>107</v>
      </c>
      <c r="F336" s="9" t="s">
        <v>54</v>
      </c>
      <c r="G336" s="9" t="s">
        <v>41</v>
      </c>
      <c r="H336" s="9">
        <v>26</v>
      </c>
      <c r="I336" s="5">
        <v>30.57</v>
      </c>
      <c r="J336" s="5">
        <v>794.82</v>
      </c>
      <c r="K336" s="5">
        <v>19.45</v>
      </c>
      <c r="L336" s="5">
        <v>255.37</v>
      </c>
      <c r="M336" s="9" t="s">
        <v>42</v>
      </c>
      <c r="N336" s="9" t="s">
        <v>29</v>
      </c>
      <c r="O336" s="9" t="s">
        <v>108</v>
      </c>
    </row>
    <row r="337" spans="1:15" x14ac:dyDescent="0.3">
      <c r="A337" s="9" t="s">
        <v>732</v>
      </c>
      <c r="B337" s="10">
        <v>55873</v>
      </c>
      <c r="C337" s="9" t="s">
        <v>151</v>
      </c>
      <c r="D337" s="9" t="str">
        <f>PROPER(E337)</f>
        <v>Japan</v>
      </c>
      <c r="E337" s="9" t="s">
        <v>93</v>
      </c>
      <c r="F337" s="9" t="s">
        <v>64</v>
      </c>
      <c r="G337" s="9" t="s">
        <v>65</v>
      </c>
      <c r="H337" s="9">
        <v>46</v>
      </c>
      <c r="I337" s="5">
        <v>32.19</v>
      </c>
      <c r="J337" s="5">
        <v>1480.74</v>
      </c>
      <c r="K337" s="5">
        <v>111.13</v>
      </c>
      <c r="L337" s="5">
        <v>219.61</v>
      </c>
      <c r="M337" s="9" t="s">
        <v>42</v>
      </c>
      <c r="N337" s="9" t="s">
        <v>29</v>
      </c>
      <c r="O337" s="9" t="s">
        <v>66</v>
      </c>
    </row>
    <row r="338" spans="1:15" x14ac:dyDescent="0.3">
      <c r="A338" s="9" t="s">
        <v>734</v>
      </c>
      <c r="B338" s="10">
        <v>55904</v>
      </c>
      <c r="C338" s="9" t="s">
        <v>106</v>
      </c>
      <c r="D338" s="9" t="str">
        <f>PROPER(E338)</f>
        <v>Singapore</v>
      </c>
      <c r="E338" s="9" t="s">
        <v>82</v>
      </c>
      <c r="F338" s="9" t="s">
        <v>27</v>
      </c>
      <c r="G338" s="9" t="s">
        <v>19</v>
      </c>
      <c r="H338" s="9">
        <v>20</v>
      </c>
      <c r="I338" s="5">
        <v>31.79</v>
      </c>
      <c r="J338" s="5">
        <v>635.79999999999995</v>
      </c>
      <c r="K338" s="5">
        <v>38.43</v>
      </c>
      <c r="L338" s="5">
        <v>237.37</v>
      </c>
      <c r="M338" s="9" t="s">
        <v>20</v>
      </c>
      <c r="N338" s="9" t="s">
        <v>29</v>
      </c>
      <c r="O338" s="9" t="s">
        <v>66</v>
      </c>
    </row>
    <row r="339" spans="1:15" x14ac:dyDescent="0.3">
      <c r="A339" s="9" t="s">
        <v>736</v>
      </c>
      <c r="B339" s="10">
        <v>55935</v>
      </c>
      <c r="C339" s="9" t="s">
        <v>16</v>
      </c>
      <c r="D339" s="9" t="str">
        <f>PROPER(E339)</f>
        <v>Australia</v>
      </c>
      <c r="E339" s="9" t="s">
        <v>172</v>
      </c>
      <c r="F339" s="9" t="s">
        <v>27</v>
      </c>
      <c r="G339" s="9" t="s">
        <v>19</v>
      </c>
      <c r="H339" s="9">
        <v>8</v>
      </c>
      <c r="I339" s="5">
        <v>28.94</v>
      </c>
      <c r="J339" s="5">
        <v>231.52</v>
      </c>
      <c r="K339" s="5">
        <v>7</v>
      </c>
      <c r="L339" s="5">
        <v>80.52</v>
      </c>
      <c r="M339" s="9" t="s">
        <v>42</v>
      </c>
      <c r="N339" s="9" t="s">
        <v>29</v>
      </c>
      <c r="O339" s="9" t="s">
        <v>173</v>
      </c>
    </row>
    <row r="340" spans="1:15" x14ac:dyDescent="0.3">
      <c r="A340" s="9" t="s">
        <v>738</v>
      </c>
      <c r="B340" s="10">
        <v>55963</v>
      </c>
      <c r="C340" s="9" t="s">
        <v>301</v>
      </c>
      <c r="D340" s="9" t="str">
        <f>PROPER(E340)</f>
        <v>France</v>
      </c>
      <c r="E340" s="9" t="s">
        <v>137</v>
      </c>
      <c r="F340" s="9" t="s">
        <v>27</v>
      </c>
      <c r="G340" s="9" t="s">
        <v>19</v>
      </c>
      <c r="H340" s="9">
        <v>40</v>
      </c>
      <c r="I340" s="5">
        <v>30.66</v>
      </c>
      <c r="J340" s="5">
        <v>1226.4000000000001</v>
      </c>
      <c r="K340" s="5">
        <v>85.24</v>
      </c>
      <c r="L340" s="5">
        <v>421.16</v>
      </c>
      <c r="M340" s="9" t="s">
        <v>20</v>
      </c>
      <c r="N340" s="9" t="s">
        <v>21</v>
      </c>
      <c r="O340" s="9" t="s">
        <v>30</v>
      </c>
    </row>
    <row r="341" spans="1:15" x14ac:dyDescent="0.3">
      <c r="A341" s="9" t="s">
        <v>740</v>
      </c>
      <c r="B341" s="10">
        <v>55994</v>
      </c>
      <c r="C341" s="9" t="s">
        <v>506</v>
      </c>
      <c r="D341" s="9" t="str">
        <f>PROPER(E341)</f>
        <v>Australia</v>
      </c>
      <c r="E341" s="9" t="s">
        <v>172</v>
      </c>
      <c r="F341" s="9" t="s">
        <v>40</v>
      </c>
      <c r="G341" s="9" t="s">
        <v>41</v>
      </c>
      <c r="H341" s="9">
        <v>44</v>
      </c>
      <c r="I341" s="5">
        <v>54.09</v>
      </c>
      <c r="J341" s="5">
        <v>2379.96</v>
      </c>
      <c r="K341" s="5">
        <v>106.39</v>
      </c>
      <c r="L341" s="5">
        <v>865.57</v>
      </c>
      <c r="M341" s="9" t="s">
        <v>20</v>
      </c>
      <c r="N341" s="9" t="s">
        <v>29</v>
      </c>
      <c r="O341" s="9" t="s">
        <v>173</v>
      </c>
    </row>
    <row r="342" spans="1:15" x14ac:dyDescent="0.3">
      <c r="A342" s="9" t="s">
        <v>741</v>
      </c>
      <c r="B342" s="10">
        <v>56024</v>
      </c>
      <c r="C342" s="9" t="s">
        <v>143</v>
      </c>
      <c r="D342" s="9" t="str">
        <f>PROPER(E342)</f>
        <v>Singapore</v>
      </c>
      <c r="E342" s="9" t="s">
        <v>82</v>
      </c>
      <c r="F342" s="9" t="s">
        <v>48</v>
      </c>
      <c r="G342" s="9" t="s">
        <v>49</v>
      </c>
      <c r="H342" s="9">
        <v>32</v>
      </c>
      <c r="I342" s="5">
        <v>68.89</v>
      </c>
      <c r="J342" s="5">
        <v>2204.48</v>
      </c>
      <c r="K342" s="5">
        <v>152.05000000000001</v>
      </c>
      <c r="L342" s="5">
        <v>772.43</v>
      </c>
      <c r="M342" s="9" t="s">
        <v>20</v>
      </c>
      <c r="N342" s="9" t="s">
        <v>29</v>
      </c>
      <c r="O342" s="9" t="s">
        <v>66</v>
      </c>
    </row>
    <row r="343" spans="1:15" x14ac:dyDescent="0.3">
      <c r="A343" s="9" t="s">
        <v>742</v>
      </c>
      <c r="B343" s="10">
        <v>56055</v>
      </c>
      <c r="C343" s="9" t="s">
        <v>699</v>
      </c>
      <c r="D343" s="9" t="str">
        <f>PROPER(E343)</f>
        <v>India</v>
      </c>
      <c r="E343" s="9" t="s">
        <v>249</v>
      </c>
      <c r="F343" s="9" t="s">
        <v>18</v>
      </c>
      <c r="G343" s="9" t="s">
        <v>19</v>
      </c>
      <c r="H343" s="9">
        <v>44</v>
      </c>
      <c r="I343" s="5">
        <v>43.35</v>
      </c>
      <c r="J343" s="5">
        <v>1907.4</v>
      </c>
      <c r="K343" s="5">
        <v>99.05</v>
      </c>
      <c r="L343" s="5">
        <v>268.35000000000002</v>
      </c>
      <c r="M343" s="9" t="s">
        <v>42</v>
      </c>
      <c r="N343" s="9" t="s">
        <v>29</v>
      </c>
      <c r="O343" s="9" t="s">
        <v>66</v>
      </c>
    </row>
    <row r="344" spans="1:15" x14ac:dyDescent="0.3">
      <c r="A344" s="9" t="s">
        <v>744</v>
      </c>
      <c r="B344" s="10">
        <v>56085</v>
      </c>
      <c r="C344" s="9" t="s">
        <v>25</v>
      </c>
      <c r="D344" s="9" t="str">
        <f>PROPER(E344)</f>
        <v>Mexico</v>
      </c>
      <c r="E344" s="9" t="s">
        <v>53</v>
      </c>
      <c r="F344" s="9" t="s">
        <v>103</v>
      </c>
      <c r="G344" s="9" t="s">
        <v>59</v>
      </c>
      <c r="H344" s="9">
        <v>24</v>
      </c>
      <c r="I344" s="5">
        <v>34</v>
      </c>
      <c r="J344" s="5">
        <v>816</v>
      </c>
      <c r="K344" s="5">
        <v>42.15</v>
      </c>
      <c r="L344" s="5">
        <v>101.85</v>
      </c>
      <c r="M344" s="9" t="s">
        <v>42</v>
      </c>
      <c r="N344" s="9" t="s">
        <v>21</v>
      </c>
      <c r="O344" s="9" t="s">
        <v>22</v>
      </c>
    </row>
    <row r="345" spans="1:15" x14ac:dyDescent="0.3">
      <c r="A345" s="9" t="s">
        <v>746</v>
      </c>
      <c r="B345" s="10">
        <v>56116</v>
      </c>
      <c r="C345" s="9" t="s">
        <v>204</v>
      </c>
      <c r="D345" s="9" t="str">
        <f>PROPER(E345)</f>
        <v>China</v>
      </c>
      <c r="E345" s="9" t="s">
        <v>63</v>
      </c>
      <c r="F345" s="9" t="s">
        <v>27</v>
      </c>
      <c r="G345" s="9" t="s">
        <v>19</v>
      </c>
      <c r="H345" s="9">
        <v>41</v>
      </c>
      <c r="I345" s="5">
        <v>30.25</v>
      </c>
      <c r="J345" s="5">
        <v>1240.25</v>
      </c>
      <c r="K345" s="5">
        <v>92.86</v>
      </c>
      <c r="L345" s="5">
        <v>409.39</v>
      </c>
      <c r="M345" s="9" t="s">
        <v>20</v>
      </c>
      <c r="N345" s="9" t="s">
        <v>21</v>
      </c>
      <c r="O345" s="9" t="s">
        <v>66</v>
      </c>
    </row>
    <row r="346" spans="1:15" x14ac:dyDescent="0.3">
      <c r="A346" s="9" t="s">
        <v>747</v>
      </c>
      <c r="B346" s="10">
        <v>56147</v>
      </c>
      <c r="C346" s="9" t="s">
        <v>16</v>
      </c>
      <c r="D346" s="9" t="str">
        <f>PROPER(E346)</f>
        <v>South Africa</v>
      </c>
      <c r="E346" s="9" t="s">
        <v>107</v>
      </c>
      <c r="F346" s="9" t="s">
        <v>69</v>
      </c>
      <c r="G346" s="9" t="s">
        <v>59</v>
      </c>
      <c r="H346" s="9">
        <v>15</v>
      </c>
      <c r="I346" s="5">
        <v>23.71</v>
      </c>
      <c r="J346" s="5">
        <v>355.65</v>
      </c>
      <c r="K346" s="5">
        <v>7.22</v>
      </c>
      <c r="L346" s="5">
        <v>115.93</v>
      </c>
      <c r="M346" s="9" t="s">
        <v>28</v>
      </c>
      <c r="N346" s="9" t="s">
        <v>29</v>
      </c>
      <c r="O346" s="9" t="s">
        <v>108</v>
      </c>
    </row>
    <row r="347" spans="1:15" x14ac:dyDescent="0.3">
      <c r="A347" s="9" t="s">
        <v>749</v>
      </c>
      <c r="B347" s="10">
        <v>56177</v>
      </c>
      <c r="C347" s="9" t="s">
        <v>163</v>
      </c>
      <c r="D347" s="9" t="str">
        <f>PROPER(E347)</f>
        <v>Singapore</v>
      </c>
      <c r="E347" s="9" t="s">
        <v>82</v>
      </c>
      <c r="F347" s="9" t="s">
        <v>40</v>
      </c>
      <c r="G347" s="9" t="s">
        <v>41</v>
      </c>
      <c r="H347" s="9">
        <v>33</v>
      </c>
      <c r="I347" s="5">
        <v>48.64</v>
      </c>
      <c r="J347" s="5">
        <v>1605.12</v>
      </c>
      <c r="K347" s="5">
        <v>98.71</v>
      </c>
      <c r="L347" s="5">
        <v>450.41</v>
      </c>
      <c r="M347" s="9" t="s">
        <v>20</v>
      </c>
      <c r="N347" s="9" t="s">
        <v>29</v>
      </c>
      <c r="O347" s="9" t="s">
        <v>66</v>
      </c>
    </row>
    <row r="348" spans="1:15" x14ac:dyDescent="0.3">
      <c r="A348" s="9" t="s">
        <v>750</v>
      </c>
      <c r="B348" s="10">
        <v>56208</v>
      </c>
      <c r="C348" s="9" t="s">
        <v>38</v>
      </c>
      <c r="D348" s="9" t="str">
        <f>PROPER(E348)</f>
        <v>Germany</v>
      </c>
      <c r="E348" s="9" t="s">
        <v>207</v>
      </c>
      <c r="F348" s="9" t="s">
        <v>18</v>
      </c>
      <c r="G348" s="9" t="s">
        <v>19</v>
      </c>
      <c r="H348" s="9">
        <v>7</v>
      </c>
      <c r="I348" s="5">
        <v>50.94</v>
      </c>
      <c r="J348" s="5">
        <v>356.58</v>
      </c>
      <c r="K348" s="5">
        <v>11.19</v>
      </c>
      <c r="L348" s="5">
        <v>100.39</v>
      </c>
      <c r="M348" s="9" t="s">
        <v>28</v>
      </c>
      <c r="N348" s="9" t="s">
        <v>21</v>
      </c>
      <c r="O348" s="9" t="s">
        <v>30</v>
      </c>
    </row>
    <row r="349" spans="1:15" x14ac:dyDescent="0.3">
      <c r="A349" s="9" t="s">
        <v>752</v>
      </c>
      <c r="B349" s="10">
        <v>56238</v>
      </c>
      <c r="C349" s="9" t="s">
        <v>290</v>
      </c>
      <c r="D349" s="9" t="str">
        <f>PROPER(E349)</f>
        <v>Australia</v>
      </c>
      <c r="E349" s="9" t="s">
        <v>172</v>
      </c>
      <c r="F349" s="9" t="s">
        <v>54</v>
      </c>
      <c r="G349" s="9" t="s">
        <v>41</v>
      </c>
      <c r="H349" s="9">
        <v>1</v>
      </c>
      <c r="I349" s="5">
        <v>31.4</v>
      </c>
      <c r="J349" s="5">
        <v>31.4</v>
      </c>
      <c r="K349" s="5">
        <v>1.1399999999999999</v>
      </c>
      <c r="L349" s="5">
        <v>10.26</v>
      </c>
      <c r="M349" s="9" t="s">
        <v>42</v>
      </c>
      <c r="N349" s="9" t="s">
        <v>29</v>
      </c>
      <c r="O349" s="9" t="s">
        <v>173</v>
      </c>
    </row>
    <row r="350" spans="1:15" x14ac:dyDescent="0.3">
      <c r="A350" s="9" t="s">
        <v>754</v>
      </c>
      <c r="B350" s="10">
        <v>56269</v>
      </c>
      <c r="C350" s="9" t="s">
        <v>284</v>
      </c>
      <c r="D350" s="9" t="str">
        <f>PROPER(E350)</f>
        <v>Italy</v>
      </c>
      <c r="E350" s="9" t="s">
        <v>34</v>
      </c>
      <c r="F350" s="9" t="s">
        <v>73</v>
      </c>
      <c r="G350" s="9" t="s">
        <v>41</v>
      </c>
      <c r="H350" s="9">
        <v>28</v>
      </c>
      <c r="I350" s="5">
        <v>18.59</v>
      </c>
      <c r="J350" s="5">
        <v>520.52</v>
      </c>
      <c r="K350" s="5">
        <v>14.08</v>
      </c>
      <c r="L350" s="5">
        <v>149.44</v>
      </c>
      <c r="M350" s="9" t="s">
        <v>20</v>
      </c>
      <c r="N350" s="9" t="s">
        <v>21</v>
      </c>
      <c r="O350" s="9" t="s">
        <v>30</v>
      </c>
    </row>
    <row r="351" spans="1:15" x14ac:dyDescent="0.3">
      <c r="A351" s="9" t="s">
        <v>755</v>
      </c>
      <c r="B351" s="10">
        <v>56300</v>
      </c>
      <c r="C351" s="9" t="s">
        <v>757</v>
      </c>
      <c r="D351" s="9" t="str">
        <f>PROPER(E351)</f>
        <v>France</v>
      </c>
      <c r="E351" s="9" t="s">
        <v>137</v>
      </c>
      <c r="F351" s="9" t="s">
        <v>69</v>
      </c>
      <c r="G351" s="9" t="s">
        <v>59</v>
      </c>
      <c r="H351" s="9">
        <v>50</v>
      </c>
      <c r="I351" s="5">
        <v>20.66</v>
      </c>
      <c r="J351" s="5">
        <v>1033</v>
      </c>
      <c r="K351" s="5">
        <v>34.130000000000003</v>
      </c>
      <c r="L351" s="5">
        <v>223.87</v>
      </c>
      <c r="M351" s="9" t="s">
        <v>42</v>
      </c>
      <c r="N351" s="9" t="s">
        <v>29</v>
      </c>
      <c r="O351" s="9" t="s">
        <v>30</v>
      </c>
    </row>
    <row r="352" spans="1:15" x14ac:dyDescent="0.3">
      <c r="A352" s="9" t="s">
        <v>758</v>
      </c>
      <c r="B352" s="10">
        <v>56328</v>
      </c>
      <c r="C352" s="9" t="s">
        <v>215</v>
      </c>
      <c r="D352" s="9" t="str">
        <f>PROPER(E352)</f>
        <v>China</v>
      </c>
      <c r="E352" s="9" t="s">
        <v>63</v>
      </c>
      <c r="F352" s="9" t="s">
        <v>18</v>
      </c>
      <c r="G352" s="9" t="s">
        <v>19</v>
      </c>
      <c r="H352" s="9">
        <v>4</v>
      </c>
      <c r="I352" s="5">
        <v>46.62</v>
      </c>
      <c r="J352" s="5">
        <v>186.48</v>
      </c>
      <c r="K352" s="5">
        <v>13.29</v>
      </c>
      <c r="L352" s="5">
        <v>33.19</v>
      </c>
      <c r="M352" s="9" t="s">
        <v>28</v>
      </c>
      <c r="N352" s="9" t="s">
        <v>21</v>
      </c>
      <c r="O352" s="9" t="s">
        <v>66</v>
      </c>
    </row>
    <row r="353" spans="1:15" x14ac:dyDescent="0.3">
      <c r="A353" s="9" t="s">
        <v>759</v>
      </c>
      <c r="B353" s="10">
        <v>56359</v>
      </c>
      <c r="C353" s="9" t="s">
        <v>699</v>
      </c>
      <c r="D353" s="9" t="str">
        <f>PROPER(E353)</f>
        <v>South Africa</v>
      </c>
      <c r="E353" s="9" t="s">
        <v>107</v>
      </c>
      <c r="F353" s="9" t="s">
        <v>69</v>
      </c>
      <c r="G353" s="9" t="s">
        <v>59</v>
      </c>
      <c r="H353" s="9">
        <v>37</v>
      </c>
      <c r="I353" s="5">
        <v>21.81</v>
      </c>
      <c r="J353" s="5">
        <v>806.97</v>
      </c>
      <c r="K353" s="5">
        <v>19.63</v>
      </c>
      <c r="L353" s="5">
        <v>213.84</v>
      </c>
      <c r="M353" s="9" t="s">
        <v>42</v>
      </c>
      <c r="N353" s="9" t="s">
        <v>35</v>
      </c>
      <c r="O353" s="9" t="s">
        <v>108</v>
      </c>
    </row>
    <row r="354" spans="1:15" x14ac:dyDescent="0.3">
      <c r="A354" s="9" t="s">
        <v>760</v>
      </c>
      <c r="B354" s="10">
        <v>56389</v>
      </c>
      <c r="C354" s="9" t="s">
        <v>182</v>
      </c>
      <c r="D354" s="9" t="str">
        <f>PROPER(E354)</f>
        <v>China</v>
      </c>
      <c r="E354" s="9" t="s">
        <v>63</v>
      </c>
      <c r="F354" s="9" t="s">
        <v>69</v>
      </c>
      <c r="G354" s="9" t="s">
        <v>59</v>
      </c>
      <c r="H354" s="9">
        <v>48</v>
      </c>
      <c r="I354" s="5">
        <v>26.68</v>
      </c>
      <c r="J354" s="5">
        <v>1280.6400000000001</v>
      </c>
      <c r="K354" s="5">
        <v>55.36</v>
      </c>
      <c r="L354" s="5">
        <v>481.28</v>
      </c>
      <c r="M354" s="9" t="s">
        <v>20</v>
      </c>
      <c r="N354" s="9" t="s">
        <v>29</v>
      </c>
      <c r="O354" s="9" t="s">
        <v>66</v>
      </c>
    </row>
    <row r="355" spans="1:15" x14ac:dyDescent="0.3">
      <c r="A355" s="9" t="s">
        <v>761</v>
      </c>
      <c r="B355" s="10">
        <v>56420</v>
      </c>
      <c r="C355" s="9" t="s">
        <v>157</v>
      </c>
      <c r="D355" s="9" t="str">
        <f>PROPER(E355)</f>
        <v>Brazil</v>
      </c>
      <c r="E355" s="9" t="s">
        <v>39</v>
      </c>
      <c r="F355" s="9" t="s">
        <v>64</v>
      </c>
      <c r="G355" s="9" t="s">
        <v>65</v>
      </c>
      <c r="H355" s="9">
        <v>24</v>
      </c>
      <c r="I355" s="5">
        <v>42.82</v>
      </c>
      <c r="J355" s="5">
        <v>1027.68</v>
      </c>
      <c r="K355" s="5">
        <v>69.95</v>
      </c>
      <c r="L355" s="5">
        <v>357.73</v>
      </c>
      <c r="M355" s="9" t="s">
        <v>20</v>
      </c>
      <c r="N355" s="9" t="s">
        <v>21</v>
      </c>
      <c r="O355" s="9" t="s">
        <v>43</v>
      </c>
    </row>
    <row r="356" spans="1:15" x14ac:dyDescent="0.3">
      <c r="A356" s="9" t="s">
        <v>763</v>
      </c>
      <c r="B356" s="10">
        <v>56450</v>
      </c>
      <c r="C356" s="9" t="s">
        <v>160</v>
      </c>
      <c r="D356" s="9" t="str">
        <f>PROPER(E356)</f>
        <v>Australia</v>
      </c>
      <c r="E356" s="9" t="s">
        <v>172</v>
      </c>
      <c r="F356" s="9" t="s">
        <v>58</v>
      </c>
      <c r="G356" s="9" t="s">
        <v>59</v>
      </c>
      <c r="H356" s="9">
        <v>26</v>
      </c>
      <c r="I356" s="5">
        <v>34.4</v>
      </c>
      <c r="J356" s="5">
        <v>894.4</v>
      </c>
      <c r="K356" s="5">
        <v>40.42</v>
      </c>
      <c r="L356" s="5">
        <v>268.98</v>
      </c>
      <c r="M356" s="9" t="s">
        <v>20</v>
      </c>
      <c r="N356" s="9" t="s">
        <v>21</v>
      </c>
      <c r="O356" s="9" t="s">
        <v>173</v>
      </c>
    </row>
    <row r="357" spans="1:15" x14ac:dyDescent="0.3">
      <c r="A357" s="9" t="s">
        <v>764</v>
      </c>
      <c r="B357" s="10">
        <v>56481</v>
      </c>
      <c r="C357" s="9" t="s">
        <v>288</v>
      </c>
      <c r="D357" s="9" t="str">
        <f>PROPER(E357)</f>
        <v>Italy</v>
      </c>
      <c r="E357" s="9" t="s">
        <v>34</v>
      </c>
      <c r="F357" s="9" t="s">
        <v>18</v>
      </c>
      <c r="G357" s="9" t="s">
        <v>19</v>
      </c>
      <c r="H357" s="9">
        <v>47</v>
      </c>
      <c r="I357" s="5">
        <v>44.89</v>
      </c>
      <c r="J357" s="5">
        <v>2109.83</v>
      </c>
      <c r="K357" s="5">
        <v>45.91</v>
      </c>
      <c r="L357" s="5">
        <v>418.92</v>
      </c>
      <c r="M357" s="9" t="s">
        <v>20</v>
      </c>
      <c r="N357" s="9" t="s">
        <v>29</v>
      </c>
      <c r="O357" s="9" t="s">
        <v>30</v>
      </c>
    </row>
    <row r="358" spans="1:15" x14ac:dyDescent="0.3">
      <c r="A358" s="9" t="s">
        <v>766</v>
      </c>
      <c r="B358" s="10">
        <v>56512</v>
      </c>
      <c r="C358" s="9" t="s">
        <v>252</v>
      </c>
      <c r="D358" s="9" t="str">
        <f>PROPER(E358)</f>
        <v>China</v>
      </c>
      <c r="E358" s="9" t="s">
        <v>63</v>
      </c>
      <c r="F358" s="9" t="s">
        <v>69</v>
      </c>
      <c r="G358" s="9" t="s">
        <v>59</v>
      </c>
      <c r="H358" s="9">
        <v>1</v>
      </c>
      <c r="I358" s="5">
        <v>18.739999999999998</v>
      </c>
      <c r="J358" s="5">
        <v>18.739999999999998</v>
      </c>
      <c r="K358" s="5">
        <v>0.5</v>
      </c>
      <c r="L358" s="5">
        <v>2.74</v>
      </c>
      <c r="M358" s="9" t="s">
        <v>42</v>
      </c>
      <c r="N358" s="9" t="s">
        <v>29</v>
      </c>
      <c r="O358" s="9" t="s">
        <v>66</v>
      </c>
    </row>
    <row r="359" spans="1:15" x14ac:dyDescent="0.3">
      <c r="A359" s="9" t="s">
        <v>767</v>
      </c>
      <c r="B359" s="10">
        <v>56542</v>
      </c>
      <c r="C359" s="9" t="s">
        <v>238</v>
      </c>
      <c r="D359" s="9" t="str">
        <f>PROPER(E359)</f>
        <v>Singapore</v>
      </c>
      <c r="E359" s="9" t="s">
        <v>82</v>
      </c>
      <c r="F359" s="9" t="s">
        <v>58</v>
      </c>
      <c r="G359" s="9" t="s">
        <v>59</v>
      </c>
      <c r="H359" s="9">
        <v>27</v>
      </c>
      <c r="I359" s="5">
        <v>36.270000000000003</v>
      </c>
      <c r="J359" s="5">
        <v>979.29</v>
      </c>
      <c r="K359" s="5">
        <v>54.58</v>
      </c>
      <c r="L359" s="5">
        <v>317.20999999999998</v>
      </c>
      <c r="M359" s="9" t="s">
        <v>28</v>
      </c>
      <c r="N359" s="9" t="s">
        <v>29</v>
      </c>
      <c r="O359" s="9" t="s">
        <v>66</v>
      </c>
    </row>
    <row r="360" spans="1:15" x14ac:dyDescent="0.3">
      <c r="A360" s="9" t="s">
        <v>768</v>
      </c>
      <c r="B360" s="10">
        <v>56573</v>
      </c>
      <c r="C360" s="9" t="s">
        <v>117</v>
      </c>
      <c r="D360" s="9" t="str">
        <f>PROPER(E360)</f>
        <v>Germany</v>
      </c>
      <c r="E360" s="9" t="s">
        <v>207</v>
      </c>
      <c r="F360" s="9" t="s">
        <v>73</v>
      </c>
      <c r="G360" s="9" t="s">
        <v>41</v>
      </c>
      <c r="H360" s="9">
        <v>13</v>
      </c>
      <c r="I360" s="5">
        <v>18.82</v>
      </c>
      <c r="J360" s="5">
        <v>244.66</v>
      </c>
      <c r="K360" s="5">
        <v>6.49</v>
      </c>
      <c r="L360" s="5">
        <v>72.42</v>
      </c>
      <c r="M360" s="9" t="s">
        <v>42</v>
      </c>
      <c r="N360" s="9" t="s">
        <v>29</v>
      </c>
      <c r="O360" s="9" t="s">
        <v>30</v>
      </c>
    </row>
    <row r="361" spans="1:15" x14ac:dyDescent="0.3">
      <c r="A361" s="9" t="s">
        <v>769</v>
      </c>
      <c r="B361" s="10">
        <v>56603</v>
      </c>
      <c r="C361" s="9" t="s">
        <v>506</v>
      </c>
      <c r="D361" s="9" t="str">
        <f>PROPER(E361)</f>
        <v>Australia</v>
      </c>
      <c r="E361" s="9" t="s">
        <v>172</v>
      </c>
      <c r="F361" s="9" t="s">
        <v>103</v>
      </c>
      <c r="G361" s="9" t="s">
        <v>59</v>
      </c>
      <c r="H361" s="9">
        <v>41</v>
      </c>
      <c r="I361" s="5">
        <v>43.19</v>
      </c>
      <c r="J361" s="5">
        <v>1770.79</v>
      </c>
      <c r="K361" s="5">
        <v>83.28</v>
      </c>
      <c r="L361" s="5">
        <v>539.51</v>
      </c>
      <c r="M361" s="9" t="s">
        <v>28</v>
      </c>
      <c r="N361" s="9" t="s">
        <v>21</v>
      </c>
      <c r="O361" s="9" t="s">
        <v>173</v>
      </c>
    </row>
    <row r="362" spans="1:15" x14ac:dyDescent="0.3">
      <c r="A362" s="9" t="s">
        <v>770</v>
      </c>
      <c r="B362" s="10">
        <v>56634</v>
      </c>
      <c r="C362" s="9" t="s">
        <v>76</v>
      </c>
      <c r="D362" s="9" t="str">
        <f>PROPER(E362)</f>
        <v>China</v>
      </c>
      <c r="E362" s="9" t="s">
        <v>63</v>
      </c>
      <c r="F362" s="9" t="s">
        <v>103</v>
      </c>
      <c r="G362" s="9" t="s">
        <v>59</v>
      </c>
      <c r="H362" s="9">
        <v>40</v>
      </c>
      <c r="I362" s="5">
        <v>42.31</v>
      </c>
      <c r="J362" s="5">
        <v>1692.4</v>
      </c>
      <c r="K362" s="5">
        <v>118.59</v>
      </c>
      <c r="L362" s="5">
        <v>453.81</v>
      </c>
      <c r="M362" s="9" t="s">
        <v>28</v>
      </c>
      <c r="N362" s="9" t="s">
        <v>35</v>
      </c>
      <c r="O362" s="9" t="s">
        <v>66</v>
      </c>
    </row>
    <row r="363" spans="1:15" x14ac:dyDescent="0.3">
      <c r="A363" s="9" t="s">
        <v>772</v>
      </c>
      <c r="B363" s="10">
        <v>56665</v>
      </c>
      <c r="C363" s="9" t="s">
        <v>407</v>
      </c>
      <c r="D363" s="9" t="str">
        <f>PROPER(E363)</f>
        <v>India</v>
      </c>
      <c r="E363" s="9" t="s">
        <v>249</v>
      </c>
      <c r="F363" s="9" t="s">
        <v>40</v>
      </c>
      <c r="G363" s="9" t="s">
        <v>41</v>
      </c>
      <c r="H363" s="9">
        <v>1</v>
      </c>
      <c r="I363" s="5">
        <v>57.15</v>
      </c>
      <c r="J363" s="5">
        <v>57.15</v>
      </c>
      <c r="K363" s="5">
        <v>4.1100000000000003</v>
      </c>
      <c r="L363" s="5">
        <v>21.04</v>
      </c>
      <c r="M363" s="9" t="s">
        <v>28</v>
      </c>
      <c r="N363" s="9" t="s">
        <v>21</v>
      </c>
      <c r="O363" s="9" t="s">
        <v>66</v>
      </c>
    </row>
    <row r="364" spans="1:15" x14ac:dyDescent="0.3">
      <c r="A364" s="9" t="s">
        <v>773</v>
      </c>
      <c r="B364" s="10">
        <v>56693</v>
      </c>
      <c r="C364" s="9" t="s">
        <v>235</v>
      </c>
      <c r="D364" s="9" t="str">
        <f>PROPER(E364)</f>
        <v>Canada</v>
      </c>
      <c r="E364" s="9" t="s">
        <v>47</v>
      </c>
      <c r="F364" s="9" t="s">
        <v>54</v>
      </c>
      <c r="G364" s="9" t="s">
        <v>41</v>
      </c>
      <c r="H364" s="9">
        <v>15</v>
      </c>
      <c r="I364" s="5">
        <v>30.03</v>
      </c>
      <c r="J364" s="5">
        <v>450.45</v>
      </c>
      <c r="K364" s="5">
        <v>29.99</v>
      </c>
      <c r="L364" s="5">
        <v>120.46</v>
      </c>
      <c r="M364" s="9" t="s">
        <v>42</v>
      </c>
      <c r="N364" s="9" t="s">
        <v>29</v>
      </c>
      <c r="O364" s="9" t="s">
        <v>22</v>
      </c>
    </row>
    <row r="365" spans="1:15" x14ac:dyDescent="0.3">
      <c r="A365" s="9" t="s">
        <v>774</v>
      </c>
      <c r="B365" s="10">
        <v>56724</v>
      </c>
      <c r="C365" s="9" t="s">
        <v>223</v>
      </c>
      <c r="D365" s="9" t="str">
        <f>PROPER(E365)</f>
        <v>Brazil</v>
      </c>
      <c r="E365" s="9" t="s">
        <v>39</v>
      </c>
      <c r="F365" s="9" t="s">
        <v>54</v>
      </c>
      <c r="G365" s="9" t="s">
        <v>41</v>
      </c>
      <c r="H365" s="9">
        <v>48</v>
      </c>
      <c r="I365" s="5">
        <v>30.91</v>
      </c>
      <c r="J365" s="5">
        <v>1483.68</v>
      </c>
      <c r="K365" s="5">
        <v>85.5</v>
      </c>
      <c r="L365" s="5">
        <v>438.18</v>
      </c>
      <c r="M365" s="9" t="s">
        <v>20</v>
      </c>
      <c r="N365" s="9" t="s">
        <v>29</v>
      </c>
      <c r="O365" s="9" t="s">
        <v>43</v>
      </c>
    </row>
    <row r="366" spans="1:15" x14ac:dyDescent="0.3">
      <c r="A366" s="9" t="s">
        <v>776</v>
      </c>
      <c r="B366" s="10">
        <v>56754</v>
      </c>
      <c r="C366" s="9" t="s">
        <v>478</v>
      </c>
      <c r="D366" s="9" t="str">
        <f>PROPER(E366)</f>
        <v>Mexico</v>
      </c>
      <c r="E366" s="9" t="s">
        <v>53</v>
      </c>
      <c r="F366" s="9" t="s">
        <v>58</v>
      </c>
      <c r="G366" s="9" t="s">
        <v>59</v>
      </c>
      <c r="H366" s="9">
        <v>8</v>
      </c>
      <c r="I366" s="5">
        <v>32.19</v>
      </c>
      <c r="J366" s="5">
        <v>257.52</v>
      </c>
      <c r="K366" s="5">
        <v>11.85</v>
      </c>
      <c r="L366" s="5">
        <v>65.67</v>
      </c>
      <c r="M366" s="9" t="s">
        <v>20</v>
      </c>
      <c r="N366" s="9" t="s">
        <v>21</v>
      </c>
      <c r="O366" s="9" t="s">
        <v>22</v>
      </c>
    </row>
    <row r="367" spans="1:15" x14ac:dyDescent="0.3">
      <c r="A367" s="9" t="s">
        <v>778</v>
      </c>
      <c r="B367" s="10">
        <v>56785</v>
      </c>
      <c r="C367" s="9" t="s">
        <v>201</v>
      </c>
      <c r="D367" s="9" t="str">
        <f>PROPER(E367)</f>
        <v>Uae</v>
      </c>
      <c r="E367" s="9" t="s">
        <v>89</v>
      </c>
      <c r="F367" s="9" t="s">
        <v>48</v>
      </c>
      <c r="G367" s="9" t="s">
        <v>49</v>
      </c>
      <c r="H367" s="9">
        <v>22</v>
      </c>
      <c r="I367" s="5">
        <v>60.75</v>
      </c>
      <c r="J367" s="5">
        <v>1336.5</v>
      </c>
      <c r="K367" s="5">
        <v>38.340000000000003</v>
      </c>
      <c r="L367" s="5">
        <v>418.16</v>
      </c>
      <c r="M367" s="9" t="s">
        <v>20</v>
      </c>
      <c r="N367" s="9" t="s">
        <v>29</v>
      </c>
      <c r="O367" s="9" t="s">
        <v>66</v>
      </c>
    </row>
    <row r="368" spans="1:15" x14ac:dyDescent="0.3">
      <c r="A368" s="9" t="s">
        <v>780</v>
      </c>
      <c r="B368" s="10">
        <v>56815</v>
      </c>
      <c r="C368" s="9" t="s">
        <v>157</v>
      </c>
      <c r="D368" s="9" t="str">
        <f>PROPER(E368)</f>
        <v>Italy</v>
      </c>
      <c r="E368" s="9" t="s">
        <v>34</v>
      </c>
      <c r="F368" s="9" t="s">
        <v>48</v>
      </c>
      <c r="G368" s="9" t="s">
        <v>49</v>
      </c>
      <c r="H368" s="9">
        <v>38</v>
      </c>
      <c r="I368" s="5">
        <v>66.06</v>
      </c>
      <c r="J368" s="5">
        <v>2510.2800000000002</v>
      </c>
      <c r="K368" s="5">
        <v>50.37</v>
      </c>
      <c r="L368" s="5">
        <v>939.91</v>
      </c>
      <c r="M368" s="9" t="s">
        <v>20</v>
      </c>
      <c r="N368" s="9" t="s">
        <v>21</v>
      </c>
      <c r="O368" s="9" t="s">
        <v>30</v>
      </c>
    </row>
    <row r="369" spans="1:15" x14ac:dyDescent="0.3">
      <c r="A369" s="9" t="s">
        <v>781</v>
      </c>
      <c r="B369" s="10">
        <v>56846</v>
      </c>
      <c r="C369" s="9" t="s">
        <v>123</v>
      </c>
      <c r="D369" s="9" t="str">
        <f>PROPER(E369)</f>
        <v>Usa</v>
      </c>
      <c r="E369" s="9" t="s">
        <v>17</v>
      </c>
      <c r="F369" s="9" t="s">
        <v>18</v>
      </c>
      <c r="G369" s="9" t="s">
        <v>19</v>
      </c>
      <c r="H369" s="9">
        <v>33</v>
      </c>
      <c r="I369" s="5">
        <v>50.88</v>
      </c>
      <c r="J369" s="5">
        <v>1679.04</v>
      </c>
      <c r="K369" s="5">
        <v>61.48</v>
      </c>
      <c r="L369" s="5">
        <v>462.56</v>
      </c>
      <c r="M369" s="9" t="s">
        <v>20</v>
      </c>
      <c r="N369" s="9" t="s">
        <v>29</v>
      </c>
      <c r="O369" s="9" t="s">
        <v>22</v>
      </c>
    </row>
    <row r="370" spans="1:15" x14ac:dyDescent="0.3">
      <c r="A370" s="9" t="s">
        <v>782</v>
      </c>
      <c r="B370" s="10">
        <v>56877</v>
      </c>
      <c r="C370" s="9" t="s">
        <v>384</v>
      </c>
      <c r="D370" s="9" t="str">
        <f>PROPER(E370)</f>
        <v>China</v>
      </c>
      <c r="E370" s="9" t="s">
        <v>63</v>
      </c>
      <c r="F370" s="9" t="s">
        <v>103</v>
      </c>
      <c r="G370" s="9" t="s">
        <v>59</v>
      </c>
      <c r="H370" s="9">
        <v>49</v>
      </c>
      <c r="I370" s="5">
        <v>34.479999999999997</v>
      </c>
      <c r="J370" s="5">
        <v>1689.52</v>
      </c>
      <c r="K370" s="5">
        <v>53.06</v>
      </c>
      <c r="L370" s="5">
        <v>264.45999999999998</v>
      </c>
      <c r="M370" s="9" t="s">
        <v>42</v>
      </c>
      <c r="N370" s="9" t="s">
        <v>35</v>
      </c>
      <c r="O370" s="9" t="s">
        <v>66</v>
      </c>
    </row>
    <row r="371" spans="1:15" x14ac:dyDescent="0.3">
      <c r="A371" s="9" t="s">
        <v>784</v>
      </c>
      <c r="B371" s="10">
        <v>56907</v>
      </c>
      <c r="C371" s="9" t="s">
        <v>235</v>
      </c>
      <c r="D371" s="9" t="str">
        <f>PROPER(E371)</f>
        <v>Japan</v>
      </c>
      <c r="E371" s="9" t="s">
        <v>93</v>
      </c>
      <c r="F371" s="9" t="s">
        <v>54</v>
      </c>
      <c r="G371" s="9" t="s">
        <v>41</v>
      </c>
      <c r="H371" s="9">
        <v>31</v>
      </c>
      <c r="I371" s="5">
        <v>25.43</v>
      </c>
      <c r="J371" s="5">
        <v>788.33</v>
      </c>
      <c r="K371" s="5">
        <v>57.81</v>
      </c>
      <c r="L371" s="5">
        <v>110.52</v>
      </c>
      <c r="M371" s="9" t="s">
        <v>20</v>
      </c>
      <c r="N371" s="9" t="s">
        <v>29</v>
      </c>
      <c r="O371" s="9" t="s">
        <v>66</v>
      </c>
    </row>
    <row r="372" spans="1:15" x14ac:dyDescent="0.3">
      <c r="A372" s="9" t="s">
        <v>785</v>
      </c>
      <c r="B372" s="10">
        <v>56938</v>
      </c>
      <c r="C372" s="9" t="s">
        <v>327</v>
      </c>
      <c r="D372" s="9" t="str">
        <f>PROPER(E372)</f>
        <v>Germany</v>
      </c>
      <c r="E372" s="9" t="s">
        <v>207</v>
      </c>
      <c r="F372" s="9" t="s">
        <v>54</v>
      </c>
      <c r="G372" s="9" t="s">
        <v>41</v>
      </c>
      <c r="H372" s="9">
        <v>29</v>
      </c>
      <c r="I372" s="5">
        <v>31.68</v>
      </c>
      <c r="J372" s="5">
        <v>918.72</v>
      </c>
      <c r="K372" s="5">
        <v>22.22</v>
      </c>
      <c r="L372" s="5">
        <v>316.5</v>
      </c>
      <c r="M372" s="9" t="s">
        <v>42</v>
      </c>
      <c r="N372" s="9" t="s">
        <v>21</v>
      </c>
      <c r="O372" s="9" t="s">
        <v>30</v>
      </c>
    </row>
    <row r="373" spans="1:15" x14ac:dyDescent="0.3">
      <c r="A373" s="9" t="s">
        <v>786</v>
      </c>
      <c r="B373" s="10">
        <v>56968</v>
      </c>
      <c r="C373" s="9" t="s">
        <v>526</v>
      </c>
      <c r="D373" s="9" t="str">
        <f>PROPER(E373)</f>
        <v>Singapore</v>
      </c>
      <c r="E373" s="9" t="s">
        <v>82</v>
      </c>
      <c r="F373" s="9" t="s">
        <v>103</v>
      </c>
      <c r="G373" s="9" t="s">
        <v>59</v>
      </c>
      <c r="H373" s="9">
        <v>42</v>
      </c>
      <c r="I373" s="5">
        <v>33.89</v>
      </c>
      <c r="J373" s="5">
        <v>1423.38</v>
      </c>
      <c r="K373" s="5">
        <v>85.4</v>
      </c>
      <c r="L373" s="5">
        <v>161.97999999999999</v>
      </c>
      <c r="M373" s="9" t="s">
        <v>42</v>
      </c>
      <c r="N373" s="9" t="s">
        <v>21</v>
      </c>
      <c r="O373" s="9" t="s">
        <v>66</v>
      </c>
    </row>
    <row r="374" spans="1:15" x14ac:dyDescent="0.3">
      <c r="A374" s="9" t="s">
        <v>787</v>
      </c>
      <c r="B374" s="10">
        <v>56999</v>
      </c>
      <c r="C374" s="9" t="s">
        <v>57</v>
      </c>
      <c r="D374" s="9" t="str">
        <f>PROPER(E374)</f>
        <v>Singapore</v>
      </c>
      <c r="E374" s="9" t="s">
        <v>82</v>
      </c>
      <c r="F374" s="9" t="s">
        <v>27</v>
      </c>
      <c r="G374" s="9" t="s">
        <v>19</v>
      </c>
      <c r="H374" s="9">
        <v>13</v>
      </c>
      <c r="I374" s="5">
        <v>21.75</v>
      </c>
      <c r="J374" s="5">
        <v>282.75</v>
      </c>
      <c r="K374" s="5">
        <v>12.5</v>
      </c>
      <c r="L374" s="5">
        <v>36.25</v>
      </c>
      <c r="M374" s="9" t="s">
        <v>42</v>
      </c>
      <c r="N374" s="9" t="s">
        <v>29</v>
      </c>
      <c r="O374" s="9" t="s">
        <v>66</v>
      </c>
    </row>
    <row r="375" spans="1:15" x14ac:dyDescent="0.3">
      <c r="A375" s="9" t="s">
        <v>789</v>
      </c>
      <c r="B375" s="10">
        <v>57030</v>
      </c>
      <c r="C375" s="9" t="s">
        <v>128</v>
      </c>
      <c r="D375" s="9" t="str">
        <f>PROPER(E375)</f>
        <v>Japan</v>
      </c>
      <c r="E375" s="9" t="s">
        <v>93</v>
      </c>
      <c r="F375" s="9" t="s">
        <v>58</v>
      </c>
      <c r="G375" s="9" t="s">
        <v>59</v>
      </c>
      <c r="H375" s="9">
        <v>25</v>
      </c>
      <c r="I375" s="5">
        <v>37.58</v>
      </c>
      <c r="J375" s="5">
        <v>939.5</v>
      </c>
      <c r="K375" s="5">
        <v>48.44</v>
      </c>
      <c r="L375" s="5">
        <v>328.56</v>
      </c>
      <c r="M375" s="9" t="s">
        <v>42</v>
      </c>
      <c r="N375" s="9" t="s">
        <v>35</v>
      </c>
      <c r="O375" s="9" t="s">
        <v>66</v>
      </c>
    </row>
    <row r="376" spans="1:15" x14ac:dyDescent="0.3">
      <c r="A376" s="9" t="s">
        <v>791</v>
      </c>
      <c r="B376" s="10">
        <v>57059</v>
      </c>
      <c r="C376" s="9" t="s">
        <v>447</v>
      </c>
      <c r="D376" s="9" t="str">
        <f>PROPER(E376)</f>
        <v>Germany</v>
      </c>
      <c r="E376" s="9" t="s">
        <v>207</v>
      </c>
      <c r="F376" s="9" t="s">
        <v>54</v>
      </c>
      <c r="G376" s="9" t="s">
        <v>41</v>
      </c>
      <c r="H376" s="9">
        <v>16</v>
      </c>
      <c r="I376" s="5">
        <v>25.25</v>
      </c>
      <c r="J376" s="5">
        <v>404</v>
      </c>
      <c r="K376" s="5">
        <v>18.75</v>
      </c>
      <c r="L376" s="5">
        <v>65.25</v>
      </c>
      <c r="M376" s="9" t="s">
        <v>28</v>
      </c>
      <c r="N376" s="9" t="s">
        <v>35</v>
      </c>
      <c r="O376" s="9" t="s">
        <v>30</v>
      </c>
    </row>
    <row r="377" spans="1:15" x14ac:dyDescent="0.3">
      <c r="A377" s="9" t="s">
        <v>793</v>
      </c>
      <c r="B377" s="10">
        <v>57090</v>
      </c>
      <c r="C377" s="9" t="s">
        <v>348</v>
      </c>
      <c r="D377" s="9" t="str">
        <f>PROPER(E377)</f>
        <v>Japan</v>
      </c>
      <c r="E377" s="9" t="s">
        <v>93</v>
      </c>
      <c r="F377" s="9" t="s">
        <v>69</v>
      </c>
      <c r="G377" s="9" t="s">
        <v>59</v>
      </c>
      <c r="H377" s="9">
        <v>37</v>
      </c>
      <c r="I377" s="5">
        <v>25.85</v>
      </c>
      <c r="J377" s="5">
        <v>956.45</v>
      </c>
      <c r="K377" s="5">
        <v>31.7</v>
      </c>
      <c r="L377" s="5">
        <v>351.25</v>
      </c>
      <c r="M377" s="9" t="s">
        <v>42</v>
      </c>
      <c r="N377" s="9" t="s">
        <v>35</v>
      </c>
      <c r="O377" s="9" t="s">
        <v>66</v>
      </c>
    </row>
    <row r="378" spans="1:15" x14ac:dyDescent="0.3">
      <c r="A378" s="9" t="s">
        <v>794</v>
      </c>
      <c r="B378" s="10">
        <v>57120</v>
      </c>
      <c r="C378" s="9" t="s">
        <v>62</v>
      </c>
      <c r="D378" s="9" t="str">
        <f>PROPER(E378)</f>
        <v>Singapore</v>
      </c>
      <c r="E378" s="9" t="s">
        <v>82</v>
      </c>
      <c r="F378" s="9" t="s">
        <v>54</v>
      </c>
      <c r="G378" s="9" t="s">
        <v>41</v>
      </c>
      <c r="H378" s="9">
        <v>1</v>
      </c>
      <c r="I378" s="5">
        <v>25.72</v>
      </c>
      <c r="J378" s="5">
        <v>25.72</v>
      </c>
      <c r="K378" s="5">
        <v>2.04</v>
      </c>
      <c r="L378" s="5">
        <v>3.68</v>
      </c>
      <c r="M378" s="9" t="s">
        <v>42</v>
      </c>
      <c r="N378" s="9" t="s">
        <v>35</v>
      </c>
      <c r="O378" s="9" t="s">
        <v>66</v>
      </c>
    </row>
    <row r="379" spans="1:15" x14ac:dyDescent="0.3">
      <c r="A379" s="9" t="s">
        <v>795</v>
      </c>
      <c r="B379" s="10">
        <v>57151</v>
      </c>
      <c r="C379" s="9" t="s">
        <v>506</v>
      </c>
      <c r="D379" s="9" t="str">
        <f>PROPER(E379)</f>
        <v>Singapore</v>
      </c>
      <c r="E379" s="9" t="s">
        <v>82</v>
      </c>
      <c r="F379" s="9" t="s">
        <v>103</v>
      </c>
      <c r="G379" s="9" t="s">
        <v>59</v>
      </c>
      <c r="H379" s="9">
        <v>48</v>
      </c>
      <c r="I379" s="5">
        <v>47.05</v>
      </c>
      <c r="J379" s="5">
        <v>2258.4</v>
      </c>
      <c r="K379" s="5">
        <v>179.44</v>
      </c>
      <c r="L379" s="5">
        <v>734.96</v>
      </c>
      <c r="M379" s="9" t="s">
        <v>28</v>
      </c>
      <c r="N379" s="9" t="s">
        <v>29</v>
      </c>
      <c r="O379" s="9" t="s">
        <v>66</v>
      </c>
    </row>
    <row r="380" spans="1:15" x14ac:dyDescent="0.3">
      <c r="A380" s="9" t="s">
        <v>796</v>
      </c>
      <c r="B380" s="10">
        <v>57181</v>
      </c>
      <c r="C380" s="9" t="s">
        <v>163</v>
      </c>
      <c r="D380" s="9" t="str">
        <f>PROPER(E380)</f>
        <v>Brazil</v>
      </c>
      <c r="E380" s="9" t="s">
        <v>39</v>
      </c>
      <c r="F380" s="9" t="s">
        <v>54</v>
      </c>
      <c r="G380" s="9" t="s">
        <v>41</v>
      </c>
      <c r="H380" s="9">
        <v>48</v>
      </c>
      <c r="I380" s="5">
        <v>29.94</v>
      </c>
      <c r="J380" s="5">
        <v>1437.12</v>
      </c>
      <c r="K380" s="5">
        <v>30.14</v>
      </c>
      <c r="L380" s="5">
        <v>446.98</v>
      </c>
      <c r="M380" s="9" t="s">
        <v>28</v>
      </c>
      <c r="N380" s="9" t="s">
        <v>29</v>
      </c>
      <c r="O380" s="9" t="s">
        <v>43</v>
      </c>
    </row>
    <row r="381" spans="1:15" x14ac:dyDescent="0.3">
      <c r="A381" s="9" t="s">
        <v>798</v>
      </c>
      <c r="B381" s="10">
        <v>57212</v>
      </c>
      <c r="C381" s="9" t="s">
        <v>553</v>
      </c>
      <c r="D381" s="9" t="str">
        <f>PROPER(E381)</f>
        <v>Italy</v>
      </c>
      <c r="E381" s="9" t="s">
        <v>34</v>
      </c>
      <c r="F381" s="9" t="s">
        <v>58</v>
      </c>
      <c r="G381" s="9" t="s">
        <v>59</v>
      </c>
      <c r="H381" s="9">
        <v>12</v>
      </c>
      <c r="I381" s="5">
        <v>35.68</v>
      </c>
      <c r="J381" s="5">
        <v>428.16</v>
      </c>
      <c r="K381" s="5">
        <v>13.07</v>
      </c>
      <c r="L381" s="5">
        <v>145.09</v>
      </c>
      <c r="M381" s="9" t="s">
        <v>28</v>
      </c>
      <c r="N381" s="9" t="s">
        <v>35</v>
      </c>
      <c r="O381" s="9" t="s">
        <v>30</v>
      </c>
    </row>
    <row r="382" spans="1:15" x14ac:dyDescent="0.3">
      <c r="A382" s="9" t="s">
        <v>800</v>
      </c>
      <c r="B382" s="10">
        <v>57243</v>
      </c>
      <c r="C382" s="9" t="s">
        <v>422</v>
      </c>
      <c r="D382" s="9" t="str">
        <f>PROPER(E382)</f>
        <v>Usa</v>
      </c>
      <c r="E382" s="9" t="s">
        <v>17</v>
      </c>
      <c r="F382" s="9" t="s">
        <v>40</v>
      </c>
      <c r="G382" s="9" t="s">
        <v>41</v>
      </c>
      <c r="H382" s="9">
        <v>30</v>
      </c>
      <c r="I382" s="5">
        <v>49.32</v>
      </c>
      <c r="J382" s="5">
        <v>1479.6</v>
      </c>
      <c r="K382" s="5">
        <v>105.97</v>
      </c>
      <c r="L382" s="5">
        <v>413.63</v>
      </c>
      <c r="M382" s="9" t="s">
        <v>28</v>
      </c>
      <c r="N382" s="9" t="s">
        <v>29</v>
      </c>
      <c r="O382" s="9" t="s">
        <v>22</v>
      </c>
    </row>
    <row r="383" spans="1:15" x14ac:dyDescent="0.3">
      <c r="A383" s="9" t="s">
        <v>801</v>
      </c>
      <c r="B383" s="10">
        <v>57273</v>
      </c>
      <c r="C383" s="9" t="s">
        <v>442</v>
      </c>
      <c r="D383" s="9" t="str">
        <f>PROPER(E383)</f>
        <v>France</v>
      </c>
      <c r="E383" s="9" t="s">
        <v>137</v>
      </c>
      <c r="F383" s="9" t="s">
        <v>103</v>
      </c>
      <c r="G383" s="9" t="s">
        <v>59</v>
      </c>
      <c r="H383" s="9">
        <v>27</v>
      </c>
      <c r="I383" s="5">
        <v>37.68</v>
      </c>
      <c r="J383" s="5">
        <v>1017.36</v>
      </c>
      <c r="K383" s="5">
        <v>80.739999999999995</v>
      </c>
      <c r="L383" s="5">
        <v>180.62</v>
      </c>
      <c r="M383" s="9" t="s">
        <v>42</v>
      </c>
      <c r="N383" s="9" t="s">
        <v>21</v>
      </c>
      <c r="O383" s="9" t="s">
        <v>30</v>
      </c>
    </row>
    <row r="384" spans="1:15" x14ac:dyDescent="0.3">
      <c r="A384" s="9" t="s">
        <v>802</v>
      </c>
      <c r="B384" s="10">
        <v>57304</v>
      </c>
      <c r="C384" s="9" t="s">
        <v>243</v>
      </c>
      <c r="D384" s="9" t="str">
        <f>PROPER(E384)</f>
        <v>Italy</v>
      </c>
      <c r="E384" s="9" t="s">
        <v>34</v>
      </c>
      <c r="F384" s="9" t="s">
        <v>64</v>
      </c>
      <c r="G384" s="9" t="s">
        <v>65</v>
      </c>
      <c r="H384" s="9">
        <v>39</v>
      </c>
      <c r="I384" s="5">
        <v>36.340000000000003</v>
      </c>
      <c r="J384" s="5">
        <v>1417.26</v>
      </c>
      <c r="K384" s="5">
        <v>67</v>
      </c>
      <c r="L384" s="5">
        <v>375.26</v>
      </c>
      <c r="M384" s="9" t="s">
        <v>42</v>
      </c>
      <c r="N384" s="9" t="s">
        <v>29</v>
      </c>
      <c r="O384" s="9" t="s">
        <v>30</v>
      </c>
    </row>
    <row r="385" spans="1:15" x14ac:dyDescent="0.3">
      <c r="A385" s="9" t="s">
        <v>804</v>
      </c>
      <c r="B385" s="10">
        <v>57334</v>
      </c>
      <c r="C385" s="9" t="s">
        <v>62</v>
      </c>
      <c r="D385" s="9" t="str">
        <f>PROPER(E385)</f>
        <v>China</v>
      </c>
      <c r="E385" s="9" t="s">
        <v>63</v>
      </c>
      <c r="F385" s="9" t="s">
        <v>69</v>
      </c>
      <c r="G385" s="9" t="s">
        <v>59</v>
      </c>
      <c r="H385" s="9">
        <v>16</v>
      </c>
      <c r="I385" s="5">
        <v>24.33</v>
      </c>
      <c r="J385" s="5">
        <v>389.28</v>
      </c>
      <c r="K385" s="5">
        <v>22.33</v>
      </c>
      <c r="L385" s="5">
        <v>118.95</v>
      </c>
      <c r="M385" s="9" t="s">
        <v>20</v>
      </c>
      <c r="N385" s="9" t="s">
        <v>35</v>
      </c>
      <c r="O385" s="9" t="s">
        <v>66</v>
      </c>
    </row>
    <row r="386" spans="1:15" x14ac:dyDescent="0.3">
      <c r="A386" s="9" t="s">
        <v>806</v>
      </c>
      <c r="B386" s="10">
        <v>57365</v>
      </c>
      <c r="C386" s="9" t="s">
        <v>442</v>
      </c>
      <c r="D386" s="9" t="str">
        <f>PROPER(E386)</f>
        <v>Uae</v>
      </c>
      <c r="E386" s="9" t="s">
        <v>89</v>
      </c>
      <c r="F386" s="9" t="s">
        <v>69</v>
      </c>
      <c r="G386" s="9" t="s">
        <v>59</v>
      </c>
      <c r="H386" s="9">
        <v>40</v>
      </c>
      <c r="I386" s="5">
        <v>22.28</v>
      </c>
      <c r="J386" s="5">
        <v>891.2</v>
      </c>
      <c r="K386" s="5">
        <v>32.729999999999997</v>
      </c>
      <c r="L386" s="5">
        <v>238.47</v>
      </c>
      <c r="M386" s="9" t="s">
        <v>20</v>
      </c>
      <c r="N386" s="9" t="s">
        <v>29</v>
      </c>
      <c r="O386" s="9" t="s">
        <v>66</v>
      </c>
    </row>
    <row r="387" spans="1:15" x14ac:dyDescent="0.3">
      <c r="A387" s="9" t="s">
        <v>807</v>
      </c>
      <c r="B387" s="10">
        <v>57396</v>
      </c>
      <c r="C387" s="9" t="s">
        <v>136</v>
      </c>
      <c r="D387" s="9" t="str">
        <f>PROPER(E387)</f>
        <v>Japan</v>
      </c>
      <c r="E387" s="9" t="s">
        <v>93</v>
      </c>
      <c r="F387" s="9" t="s">
        <v>73</v>
      </c>
      <c r="G387" s="9" t="s">
        <v>41</v>
      </c>
      <c r="H387" s="9">
        <v>45</v>
      </c>
      <c r="I387" s="5">
        <v>21.71</v>
      </c>
      <c r="J387" s="5">
        <v>976.95</v>
      </c>
      <c r="K387" s="5">
        <v>51.6</v>
      </c>
      <c r="L387" s="5">
        <v>351.6</v>
      </c>
      <c r="M387" s="9" t="s">
        <v>20</v>
      </c>
      <c r="N387" s="9" t="s">
        <v>21</v>
      </c>
      <c r="O387" s="9" t="s">
        <v>66</v>
      </c>
    </row>
    <row r="388" spans="1:15" x14ac:dyDescent="0.3">
      <c r="A388" s="9" t="s">
        <v>808</v>
      </c>
      <c r="B388" s="10">
        <v>57424</v>
      </c>
      <c r="C388" s="9" t="s">
        <v>255</v>
      </c>
      <c r="D388" s="9" t="str">
        <f>PROPER(E388)</f>
        <v>Germany</v>
      </c>
      <c r="E388" s="9" t="s">
        <v>207</v>
      </c>
      <c r="F388" s="9" t="s">
        <v>64</v>
      </c>
      <c r="G388" s="9" t="s">
        <v>65</v>
      </c>
      <c r="H388" s="9">
        <v>8</v>
      </c>
      <c r="I388" s="5">
        <v>31.07</v>
      </c>
      <c r="J388" s="5">
        <v>248.56</v>
      </c>
      <c r="K388" s="5">
        <v>10.97</v>
      </c>
      <c r="L388" s="5">
        <v>37.590000000000003</v>
      </c>
      <c r="M388" s="9" t="s">
        <v>20</v>
      </c>
      <c r="N388" s="9" t="s">
        <v>29</v>
      </c>
      <c r="O388" s="9" t="s">
        <v>30</v>
      </c>
    </row>
    <row r="389" spans="1:15" x14ac:dyDescent="0.3">
      <c r="A389" s="9" t="s">
        <v>809</v>
      </c>
      <c r="B389" s="10">
        <v>57455</v>
      </c>
      <c r="C389" s="9" t="s">
        <v>336</v>
      </c>
      <c r="D389" s="9" t="str">
        <f>PROPER(E389)</f>
        <v>France</v>
      </c>
      <c r="E389" s="9" t="s">
        <v>137</v>
      </c>
      <c r="F389" s="9" t="s">
        <v>73</v>
      </c>
      <c r="G389" s="9" t="s">
        <v>41</v>
      </c>
      <c r="H389" s="9">
        <v>47</v>
      </c>
      <c r="I389" s="5">
        <v>21.93</v>
      </c>
      <c r="J389" s="5">
        <v>1030.71</v>
      </c>
      <c r="K389" s="5">
        <v>70.989999999999995</v>
      </c>
      <c r="L389" s="5">
        <v>360.47</v>
      </c>
      <c r="M389" s="9" t="s">
        <v>42</v>
      </c>
      <c r="N389" s="9" t="s">
        <v>21</v>
      </c>
      <c r="O389" s="9" t="s">
        <v>30</v>
      </c>
    </row>
    <row r="390" spans="1:15" x14ac:dyDescent="0.3">
      <c r="A390" s="9" t="s">
        <v>811</v>
      </c>
      <c r="B390" s="10">
        <v>57485</v>
      </c>
      <c r="C390" s="9" t="s">
        <v>131</v>
      </c>
      <c r="D390" s="9" t="str">
        <f>PROPER(E390)</f>
        <v>France</v>
      </c>
      <c r="E390" s="9" t="s">
        <v>137</v>
      </c>
      <c r="F390" s="9" t="s">
        <v>73</v>
      </c>
      <c r="G390" s="9" t="s">
        <v>41</v>
      </c>
      <c r="H390" s="9">
        <v>46</v>
      </c>
      <c r="I390" s="5">
        <v>21.46</v>
      </c>
      <c r="J390" s="5">
        <v>987.16</v>
      </c>
      <c r="K390" s="5">
        <v>21.64</v>
      </c>
      <c r="L390" s="5">
        <v>379.02</v>
      </c>
      <c r="M390" s="9" t="s">
        <v>28</v>
      </c>
      <c r="N390" s="9" t="s">
        <v>21</v>
      </c>
      <c r="O390" s="9" t="s">
        <v>30</v>
      </c>
    </row>
    <row r="391" spans="1:15" x14ac:dyDescent="0.3">
      <c r="A391" s="9" t="s">
        <v>813</v>
      </c>
      <c r="B391" s="10">
        <v>57516</v>
      </c>
      <c r="C391" s="9" t="s">
        <v>92</v>
      </c>
      <c r="D391" s="9" t="str">
        <f>PROPER(E391)</f>
        <v>Usa</v>
      </c>
      <c r="E391" s="9" t="s">
        <v>17</v>
      </c>
      <c r="F391" s="9" t="s">
        <v>103</v>
      </c>
      <c r="G391" s="9" t="s">
        <v>59</v>
      </c>
      <c r="H391" s="9">
        <v>45</v>
      </c>
      <c r="I391" s="5">
        <v>47.1</v>
      </c>
      <c r="J391" s="5">
        <v>2119.5</v>
      </c>
      <c r="K391" s="5">
        <v>120.16</v>
      </c>
      <c r="L391" s="5">
        <v>739.34</v>
      </c>
      <c r="M391" s="9" t="s">
        <v>28</v>
      </c>
      <c r="N391" s="9" t="s">
        <v>29</v>
      </c>
      <c r="O391" s="9" t="s">
        <v>22</v>
      </c>
    </row>
    <row r="392" spans="1:15" x14ac:dyDescent="0.3">
      <c r="A392" s="9" t="s">
        <v>815</v>
      </c>
      <c r="B392" s="10">
        <v>57546</v>
      </c>
      <c r="C392" s="9" t="s">
        <v>16</v>
      </c>
      <c r="D392" s="9" t="str">
        <f>PROPER(E392)</f>
        <v>India</v>
      </c>
      <c r="E392" s="9" t="s">
        <v>249</v>
      </c>
      <c r="F392" s="9" t="s">
        <v>18</v>
      </c>
      <c r="G392" s="9" t="s">
        <v>19</v>
      </c>
      <c r="H392" s="9">
        <v>2</v>
      </c>
      <c r="I392" s="5">
        <v>58.32</v>
      </c>
      <c r="J392" s="5">
        <v>116.64</v>
      </c>
      <c r="K392" s="5">
        <v>8.99</v>
      </c>
      <c r="L392" s="5">
        <v>37.65</v>
      </c>
      <c r="M392" s="9" t="s">
        <v>20</v>
      </c>
      <c r="N392" s="9" t="s">
        <v>29</v>
      </c>
      <c r="O392" s="9" t="s">
        <v>66</v>
      </c>
    </row>
    <row r="393" spans="1:15" x14ac:dyDescent="0.3">
      <c r="A393" s="9" t="s">
        <v>816</v>
      </c>
      <c r="B393" s="10">
        <v>57577</v>
      </c>
      <c r="C393" s="9" t="s">
        <v>442</v>
      </c>
      <c r="D393" s="9" t="str">
        <f>PROPER(E393)</f>
        <v>France</v>
      </c>
      <c r="E393" s="9" t="s">
        <v>137</v>
      </c>
      <c r="F393" s="9" t="s">
        <v>18</v>
      </c>
      <c r="G393" s="9" t="s">
        <v>19</v>
      </c>
      <c r="H393" s="9">
        <v>31</v>
      </c>
      <c r="I393" s="5">
        <v>61.34</v>
      </c>
      <c r="J393" s="5">
        <v>1901.54</v>
      </c>
      <c r="K393" s="5">
        <v>147.43</v>
      </c>
      <c r="L393" s="5">
        <v>669.11</v>
      </c>
      <c r="M393" s="9" t="s">
        <v>28</v>
      </c>
      <c r="N393" s="9" t="s">
        <v>21</v>
      </c>
      <c r="O393" s="9" t="s">
        <v>30</v>
      </c>
    </row>
    <row r="394" spans="1:15" x14ac:dyDescent="0.3">
      <c r="A394" s="9" t="s">
        <v>818</v>
      </c>
      <c r="B394" s="10">
        <v>57608</v>
      </c>
      <c r="C394" s="9" t="s">
        <v>232</v>
      </c>
      <c r="D394" s="9" t="str">
        <f>PROPER(E394)</f>
        <v>Canada</v>
      </c>
      <c r="E394" s="9" t="s">
        <v>47</v>
      </c>
      <c r="F394" s="9" t="s">
        <v>64</v>
      </c>
      <c r="G394" s="9" t="s">
        <v>65</v>
      </c>
      <c r="H394" s="9">
        <v>15</v>
      </c>
      <c r="I394" s="5">
        <v>43.9</v>
      </c>
      <c r="J394" s="5">
        <v>658.5</v>
      </c>
      <c r="K394" s="5">
        <v>36.479999999999997</v>
      </c>
      <c r="L394" s="5">
        <v>247.02</v>
      </c>
      <c r="M394" s="9" t="s">
        <v>42</v>
      </c>
      <c r="N394" s="9" t="s">
        <v>29</v>
      </c>
      <c r="O394" s="9" t="s">
        <v>22</v>
      </c>
    </row>
    <row r="395" spans="1:15" x14ac:dyDescent="0.3">
      <c r="A395" s="9" t="s">
        <v>820</v>
      </c>
      <c r="B395" s="10">
        <v>57638</v>
      </c>
      <c r="C395" s="9" t="s">
        <v>232</v>
      </c>
      <c r="D395" s="9" t="str">
        <f>PROPER(E395)</f>
        <v>Italy</v>
      </c>
      <c r="E395" s="9" t="s">
        <v>34</v>
      </c>
      <c r="F395" s="9" t="s">
        <v>73</v>
      </c>
      <c r="G395" s="9" t="s">
        <v>41</v>
      </c>
      <c r="H395" s="9">
        <v>4</v>
      </c>
      <c r="I395" s="5">
        <v>20.53</v>
      </c>
      <c r="J395" s="5">
        <v>82.12</v>
      </c>
      <c r="K395" s="5">
        <v>4.05</v>
      </c>
      <c r="L395" s="5">
        <v>27.07</v>
      </c>
      <c r="M395" s="9" t="s">
        <v>20</v>
      </c>
      <c r="N395" s="9" t="s">
        <v>35</v>
      </c>
      <c r="O395" s="9" t="s">
        <v>30</v>
      </c>
    </row>
    <row r="396" spans="1:15" x14ac:dyDescent="0.3">
      <c r="A396" s="9" t="s">
        <v>822</v>
      </c>
      <c r="B396" s="10">
        <v>57669</v>
      </c>
      <c r="C396" s="9" t="s">
        <v>204</v>
      </c>
      <c r="D396" s="9" t="str">
        <f>PROPER(E396)</f>
        <v>Australia</v>
      </c>
      <c r="E396" s="9" t="s">
        <v>172</v>
      </c>
      <c r="F396" s="9" t="s">
        <v>54</v>
      </c>
      <c r="G396" s="9" t="s">
        <v>41</v>
      </c>
      <c r="H396" s="9">
        <v>6</v>
      </c>
      <c r="I396" s="5">
        <v>24.7</v>
      </c>
      <c r="J396" s="5">
        <v>148.19999999999999</v>
      </c>
      <c r="K396" s="5">
        <v>3.76</v>
      </c>
      <c r="L396" s="5">
        <v>24.44</v>
      </c>
      <c r="M396" s="9" t="s">
        <v>42</v>
      </c>
      <c r="N396" s="9" t="s">
        <v>21</v>
      </c>
      <c r="O396" s="9" t="s">
        <v>173</v>
      </c>
    </row>
    <row r="397" spans="1:15" x14ac:dyDescent="0.3">
      <c r="A397" s="9" t="s">
        <v>823</v>
      </c>
      <c r="B397" s="10">
        <v>57699</v>
      </c>
      <c r="C397" s="9" t="s">
        <v>488</v>
      </c>
      <c r="D397" s="9" t="str">
        <f>PROPER(E397)</f>
        <v>Brazil</v>
      </c>
      <c r="E397" s="9" t="s">
        <v>39</v>
      </c>
      <c r="F397" s="9" t="s">
        <v>73</v>
      </c>
      <c r="G397" s="9" t="s">
        <v>41</v>
      </c>
      <c r="H397" s="9">
        <v>19</v>
      </c>
      <c r="I397" s="5">
        <v>19.170000000000002</v>
      </c>
      <c r="J397" s="5">
        <v>364.23</v>
      </c>
      <c r="K397" s="5">
        <v>15.16</v>
      </c>
      <c r="L397" s="5">
        <v>106.82</v>
      </c>
      <c r="M397" s="9" t="s">
        <v>28</v>
      </c>
      <c r="N397" s="9" t="s">
        <v>29</v>
      </c>
      <c r="O397" s="9" t="s">
        <v>43</v>
      </c>
    </row>
    <row r="398" spans="1:15" x14ac:dyDescent="0.3">
      <c r="A398" s="9" t="s">
        <v>825</v>
      </c>
      <c r="B398" s="10">
        <v>57730</v>
      </c>
      <c r="C398" s="9" t="s">
        <v>597</v>
      </c>
      <c r="D398" s="9" t="str">
        <f>PROPER(E398)</f>
        <v>China</v>
      </c>
      <c r="E398" s="9" t="s">
        <v>63</v>
      </c>
      <c r="F398" s="9" t="s">
        <v>48</v>
      </c>
      <c r="G398" s="9" t="s">
        <v>49</v>
      </c>
      <c r="H398" s="9">
        <v>2</v>
      </c>
      <c r="I398" s="5">
        <v>55.28</v>
      </c>
      <c r="J398" s="5">
        <v>110.56</v>
      </c>
      <c r="K398" s="5">
        <v>5.37</v>
      </c>
      <c r="L398" s="5">
        <v>25.19</v>
      </c>
      <c r="M398" s="9" t="s">
        <v>42</v>
      </c>
      <c r="N398" s="9" t="s">
        <v>29</v>
      </c>
      <c r="O398" s="9" t="s">
        <v>66</v>
      </c>
    </row>
    <row r="399" spans="1:15" x14ac:dyDescent="0.3">
      <c r="A399" s="9" t="s">
        <v>826</v>
      </c>
      <c r="B399" s="10">
        <v>57761</v>
      </c>
      <c r="C399" s="9" t="s">
        <v>301</v>
      </c>
      <c r="D399" s="9" t="str">
        <f>PROPER(E399)</f>
        <v>Brazil</v>
      </c>
      <c r="E399" s="9" t="s">
        <v>39</v>
      </c>
      <c r="F399" s="9" t="s">
        <v>64</v>
      </c>
      <c r="G399" s="9" t="s">
        <v>65</v>
      </c>
      <c r="H399" s="9">
        <v>49</v>
      </c>
      <c r="I399" s="5">
        <v>43.91</v>
      </c>
      <c r="J399" s="5">
        <v>2151.59</v>
      </c>
      <c r="K399" s="5">
        <v>63.55</v>
      </c>
      <c r="L399" s="5">
        <v>863.04</v>
      </c>
      <c r="M399" s="9" t="s">
        <v>20</v>
      </c>
      <c r="N399" s="9" t="s">
        <v>29</v>
      </c>
      <c r="O399" s="9" t="s">
        <v>43</v>
      </c>
    </row>
    <row r="400" spans="1:15" x14ac:dyDescent="0.3">
      <c r="A400" s="9" t="s">
        <v>828</v>
      </c>
      <c r="B400" s="10">
        <v>57789</v>
      </c>
      <c r="C400" s="9" t="s">
        <v>274</v>
      </c>
      <c r="D400" s="9" t="str">
        <f>PROPER(E400)</f>
        <v>Brazil</v>
      </c>
      <c r="E400" s="9" t="s">
        <v>39</v>
      </c>
      <c r="F400" s="9" t="s">
        <v>64</v>
      </c>
      <c r="G400" s="9" t="s">
        <v>65</v>
      </c>
      <c r="H400" s="9">
        <v>29</v>
      </c>
      <c r="I400" s="5">
        <v>41.84</v>
      </c>
      <c r="J400" s="5">
        <v>1213.3599999999999</v>
      </c>
      <c r="K400" s="5">
        <v>56.83</v>
      </c>
      <c r="L400" s="5">
        <v>431.53</v>
      </c>
      <c r="M400" s="9" t="s">
        <v>42</v>
      </c>
      <c r="N400" s="9" t="s">
        <v>35</v>
      </c>
      <c r="O400" s="9" t="s">
        <v>43</v>
      </c>
    </row>
    <row r="401" spans="1:15" x14ac:dyDescent="0.3">
      <c r="A401" s="9" t="s">
        <v>830</v>
      </c>
      <c r="B401" s="10">
        <v>57820</v>
      </c>
      <c r="C401" s="9" t="s">
        <v>248</v>
      </c>
      <c r="D401" s="9" t="str">
        <f>PROPER(E401)</f>
        <v>South Africa</v>
      </c>
      <c r="E401" s="9" t="s">
        <v>107</v>
      </c>
      <c r="F401" s="9" t="s">
        <v>69</v>
      </c>
      <c r="G401" s="9" t="s">
        <v>59</v>
      </c>
      <c r="H401" s="9">
        <v>43</v>
      </c>
      <c r="I401" s="5">
        <v>27.41</v>
      </c>
      <c r="J401" s="5">
        <v>1178.6300000000001</v>
      </c>
      <c r="K401" s="5">
        <v>55.82</v>
      </c>
      <c r="L401" s="5">
        <v>456.31</v>
      </c>
      <c r="M401" s="9" t="s">
        <v>42</v>
      </c>
      <c r="N401" s="9" t="s">
        <v>29</v>
      </c>
      <c r="O401" s="9" t="s">
        <v>108</v>
      </c>
    </row>
    <row r="402" spans="1:15" x14ac:dyDescent="0.3">
      <c r="A402" s="9" t="s">
        <v>831</v>
      </c>
      <c r="B402" s="10">
        <v>57850</v>
      </c>
      <c r="C402" s="9" t="s">
        <v>710</v>
      </c>
      <c r="D402" s="9" t="str">
        <f>PROPER(E402)</f>
        <v>Mexico</v>
      </c>
      <c r="E402" s="9" t="s">
        <v>53</v>
      </c>
      <c r="F402" s="9" t="s">
        <v>54</v>
      </c>
      <c r="G402" s="9" t="s">
        <v>41</v>
      </c>
      <c r="H402" s="9">
        <v>28</v>
      </c>
      <c r="I402" s="5">
        <v>31.84</v>
      </c>
      <c r="J402" s="5">
        <v>891.52</v>
      </c>
      <c r="K402" s="5">
        <v>54.24</v>
      </c>
      <c r="L402" s="5">
        <v>277.27999999999997</v>
      </c>
      <c r="M402" s="9" t="s">
        <v>20</v>
      </c>
      <c r="N402" s="9" t="s">
        <v>29</v>
      </c>
      <c r="O402" s="9" t="s">
        <v>22</v>
      </c>
    </row>
    <row r="403" spans="1:15" x14ac:dyDescent="0.3">
      <c r="A403" s="9" t="s">
        <v>832</v>
      </c>
      <c r="B403" s="10">
        <v>57881</v>
      </c>
      <c r="C403" s="9" t="s">
        <v>429</v>
      </c>
      <c r="D403" s="9" t="str">
        <f>PROPER(E403)</f>
        <v>China</v>
      </c>
      <c r="E403" s="9" t="s">
        <v>63</v>
      </c>
      <c r="F403" s="9" t="s">
        <v>64</v>
      </c>
      <c r="G403" s="9" t="s">
        <v>65</v>
      </c>
      <c r="H403" s="9">
        <v>42</v>
      </c>
      <c r="I403" s="5">
        <v>35.840000000000003</v>
      </c>
      <c r="J403" s="5">
        <v>1505.28</v>
      </c>
      <c r="K403" s="5">
        <v>60.65</v>
      </c>
      <c r="L403" s="5">
        <v>394.63</v>
      </c>
      <c r="M403" s="9" t="s">
        <v>42</v>
      </c>
      <c r="N403" s="9" t="s">
        <v>29</v>
      </c>
      <c r="O403" s="9" t="s">
        <v>66</v>
      </c>
    </row>
    <row r="404" spans="1:15" x14ac:dyDescent="0.3">
      <c r="A404" s="9" t="s">
        <v>833</v>
      </c>
      <c r="B404" s="10">
        <v>57911</v>
      </c>
      <c r="C404" s="9" t="s">
        <v>72</v>
      </c>
      <c r="D404" s="9" t="str">
        <f>PROPER(E404)</f>
        <v>Singapore</v>
      </c>
      <c r="E404" s="9" t="s">
        <v>82</v>
      </c>
      <c r="F404" s="9" t="s">
        <v>58</v>
      </c>
      <c r="G404" s="9" t="s">
        <v>59</v>
      </c>
      <c r="H404" s="9">
        <v>22</v>
      </c>
      <c r="I404" s="5">
        <v>30.55</v>
      </c>
      <c r="J404" s="5">
        <v>672.1</v>
      </c>
      <c r="K404" s="5">
        <v>46.8</v>
      </c>
      <c r="L404" s="5">
        <v>130.30000000000001</v>
      </c>
      <c r="M404" s="9" t="s">
        <v>28</v>
      </c>
      <c r="N404" s="9" t="s">
        <v>35</v>
      </c>
      <c r="O404" s="9" t="s">
        <v>66</v>
      </c>
    </row>
    <row r="405" spans="1:15" x14ac:dyDescent="0.3">
      <c r="A405" s="9" t="s">
        <v>834</v>
      </c>
      <c r="B405" s="10">
        <v>57942</v>
      </c>
      <c r="C405" s="9" t="s">
        <v>319</v>
      </c>
      <c r="D405" s="9" t="str">
        <f>PROPER(E405)</f>
        <v>Japan</v>
      </c>
      <c r="E405" s="9" t="s">
        <v>93</v>
      </c>
      <c r="F405" s="9" t="s">
        <v>103</v>
      </c>
      <c r="G405" s="9" t="s">
        <v>59</v>
      </c>
      <c r="H405" s="9">
        <v>13</v>
      </c>
      <c r="I405" s="5">
        <v>45.16</v>
      </c>
      <c r="J405" s="5">
        <v>587.08000000000004</v>
      </c>
      <c r="K405" s="5">
        <v>29.68</v>
      </c>
      <c r="L405" s="5">
        <v>193.4</v>
      </c>
      <c r="M405" s="9" t="s">
        <v>28</v>
      </c>
      <c r="N405" s="9" t="s">
        <v>29</v>
      </c>
      <c r="O405" s="9" t="s">
        <v>66</v>
      </c>
    </row>
    <row r="406" spans="1:15" x14ac:dyDescent="0.3">
      <c r="A406" s="9" t="s">
        <v>835</v>
      </c>
      <c r="B406" s="10">
        <v>57973</v>
      </c>
      <c r="C406" s="9" t="s">
        <v>193</v>
      </c>
      <c r="D406" s="9" t="str">
        <f>PROPER(E406)</f>
        <v>Australia</v>
      </c>
      <c r="E406" s="9" t="s">
        <v>172</v>
      </c>
      <c r="F406" s="9" t="s">
        <v>18</v>
      </c>
      <c r="G406" s="9" t="s">
        <v>19</v>
      </c>
      <c r="H406" s="9">
        <v>40</v>
      </c>
      <c r="I406" s="5">
        <v>45.23</v>
      </c>
      <c r="J406" s="5">
        <v>1809.2</v>
      </c>
      <c r="K406" s="5">
        <v>136.25</v>
      </c>
      <c r="L406" s="5">
        <v>272.95</v>
      </c>
      <c r="M406" s="9" t="s">
        <v>42</v>
      </c>
      <c r="N406" s="9" t="s">
        <v>35</v>
      </c>
      <c r="O406" s="9" t="s">
        <v>173</v>
      </c>
    </row>
    <row r="407" spans="1:15" x14ac:dyDescent="0.3">
      <c r="A407" s="9" t="s">
        <v>836</v>
      </c>
      <c r="B407" s="10">
        <v>58003</v>
      </c>
      <c r="C407" s="9" t="s">
        <v>377</v>
      </c>
      <c r="D407" s="9" t="str">
        <f>PROPER(E407)</f>
        <v>Japan</v>
      </c>
      <c r="E407" s="9" t="s">
        <v>93</v>
      </c>
      <c r="F407" s="9" t="s">
        <v>27</v>
      </c>
      <c r="G407" s="9" t="s">
        <v>19</v>
      </c>
      <c r="H407" s="9">
        <v>41</v>
      </c>
      <c r="I407" s="5">
        <v>22.78</v>
      </c>
      <c r="J407" s="5">
        <v>933.98</v>
      </c>
      <c r="K407" s="5">
        <v>38.369999999999997</v>
      </c>
      <c r="L407" s="5">
        <v>157.61000000000001</v>
      </c>
      <c r="M407" s="9" t="s">
        <v>28</v>
      </c>
      <c r="N407" s="9" t="s">
        <v>21</v>
      </c>
      <c r="O407" s="9" t="s">
        <v>66</v>
      </c>
    </row>
    <row r="408" spans="1:15" x14ac:dyDescent="0.3">
      <c r="A408" s="9" t="s">
        <v>837</v>
      </c>
      <c r="B408" s="10">
        <v>58034</v>
      </c>
      <c r="C408" s="9" t="s">
        <v>131</v>
      </c>
      <c r="D408" s="9" t="str">
        <f>PROPER(E408)</f>
        <v>France</v>
      </c>
      <c r="E408" s="9" t="s">
        <v>137</v>
      </c>
      <c r="F408" s="9" t="s">
        <v>69</v>
      </c>
      <c r="G408" s="9" t="s">
        <v>59</v>
      </c>
      <c r="H408" s="9">
        <v>34</v>
      </c>
      <c r="I408" s="5">
        <v>24.21</v>
      </c>
      <c r="J408" s="5">
        <v>823.14</v>
      </c>
      <c r="K408" s="5">
        <v>58.25</v>
      </c>
      <c r="L408" s="5">
        <v>237.89</v>
      </c>
      <c r="M408" s="9" t="s">
        <v>20</v>
      </c>
      <c r="N408" s="9" t="s">
        <v>21</v>
      </c>
      <c r="O408" s="9" t="s">
        <v>30</v>
      </c>
    </row>
    <row r="409" spans="1:15" x14ac:dyDescent="0.3">
      <c r="A409" s="9" t="s">
        <v>839</v>
      </c>
      <c r="B409" s="10">
        <v>58064</v>
      </c>
      <c r="C409" s="9" t="s">
        <v>151</v>
      </c>
      <c r="D409" s="9" t="str">
        <f>PROPER(E409)</f>
        <v>Uk</v>
      </c>
      <c r="E409" s="9" t="s">
        <v>26</v>
      </c>
      <c r="F409" s="9" t="s">
        <v>54</v>
      </c>
      <c r="G409" s="9" t="s">
        <v>41</v>
      </c>
      <c r="H409" s="9">
        <v>46</v>
      </c>
      <c r="I409" s="5">
        <v>34.64</v>
      </c>
      <c r="J409" s="5">
        <v>1593.44</v>
      </c>
      <c r="K409" s="5">
        <v>45.93</v>
      </c>
      <c r="L409" s="5">
        <v>627.51</v>
      </c>
      <c r="M409" s="9" t="s">
        <v>42</v>
      </c>
      <c r="N409" s="9" t="s">
        <v>21</v>
      </c>
      <c r="O409" s="9" t="s">
        <v>30</v>
      </c>
    </row>
    <row r="410" spans="1:15" x14ac:dyDescent="0.3">
      <c r="A410" s="9" t="s">
        <v>840</v>
      </c>
      <c r="B410" s="10">
        <v>58095</v>
      </c>
      <c r="C410" s="9" t="s">
        <v>193</v>
      </c>
      <c r="D410" s="9" t="str">
        <f>PROPER(E410)</f>
        <v>Canada</v>
      </c>
      <c r="E410" s="9" t="s">
        <v>47</v>
      </c>
      <c r="F410" s="9" t="s">
        <v>54</v>
      </c>
      <c r="G410" s="9" t="s">
        <v>41</v>
      </c>
      <c r="H410" s="9">
        <v>10</v>
      </c>
      <c r="I410" s="5">
        <v>27.06</v>
      </c>
      <c r="J410" s="5">
        <v>270.60000000000002</v>
      </c>
      <c r="K410" s="5">
        <v>15.35</v>
      </c>
      <c r="L410" s="5">
        <v>55.25</v>
      </c>
      <c r="M410" s="9" t="s">
        <v>20</v>
      </c>
      <c r="N410" s="9" t="s">
        <v>35</v>
      </c>
      <c r="O410" s="9" t="s">
        <v>22</v>
      </c>
    </row>
    <row r="411" spans="1:15" x14ac:dyDescent="0.3">
      <c r="A411" s="9" t="s">
        <v>842</v>
      </c>
      <c r="B411" s="10">
        <v>58126</v>
      </c>
      <c r="C411" s="9" t="s">
        <v>188</v>
      </c>
      <c r="D411" s="9" t="str">
        <f>PROPER(E411)</f>
        <v>Uk</v>
      </c>
      <c r="E411" s="9" t="s">
        <v>26</v>
      </c>
      <c r="F411" s="9" t="s">
        <v>27</v>
      </c>
      <c r="G411" s="9" t="s">
        <v>19</v>
      </c>
      <c r="H411" s="9">
        <v>11</v>
      </c>
      <c r="I411" s="5">
        <v>27.74</v>
      </c>
      <c r="J411" s="5">
        <v>305.14</v>
      </c>
      <c r="K411" s="5">
        <v>10.81</v>
      </c>
      <c r="L411" s="5">
        <v>96.33</v>
      </c>
      <c r="M411" s="9" t="s">
        <v>28</v>
      </c>
      <c r="N411" s="9" t="s">
        <v>35</v>
      </c>
      <c r="O411" s="9" t="s">
        <v>30</v>
      </c>
    </row>
    <row r="412" spans="1:15" x14ac:dyDescent="0.3">
      <c r="A412" s="9" t="s">
        <v>843</v>
      </c>
      <c r="B412" s="10">
        <v>58154</v>
      </c>
      <c r="C412" s="9" t="s">
        <v>123</v>
      </c>
      <c r="D412" s="9" t="str">
        <f>PROPER(E412)</f>
        <v>Canada</v>
      </c>
      <c r="E412" s="9" t="s">
        <v>47</v>
      </c>
      <c r="F412" s="9" t="s">
        <v>103</v>
      </c>
      <c r="G412" s="9" t="s">
        <v>59</v>
      </c>
      <c r="H412" s="9">
        <v>29</v>
      </c>
      <c r="I412" s="5">
        <v>38.08</v>
      </c>
      <c r="J412" s="5">
        <v>1104.32</v>
      </c>
      <c r="K412" s="5">
        <v>25.63</v>
      </c>
      <c r="L412" s="5">
        <v>266.69</v>
      </c>
      <c r="M412" s="9" t="s">
        <v>28</v>
      </c>
      <c r="N412" s="9" t="s">
        <v>35</v>
      </c>
      <c r="O412" s="9" t="s">
        <v>22</v>
      </c>
    </row>
    <row r="413" spans="1:15" x14ac:dyDescent="0.3">
      <c r="A413" s="9" t="s">
        <v>845</v>
      </c>
      <c r="B413" s="10">
        <v>58185</v>
      </c>
      <c r="C413" s="9" t="s">
        <v>157</v>
      </c>
      <c r="D413" s="9" t="str">
        <f>PROPER(E413)</f>
        <v>Canada</v>
      </c>
      <c r="E413" s="9" t="s">
        <v>47</v>
      </c>
      <c r="F413" s="9" t="s">
        <v>103</v>
      </c>
      <c r="G413" s="9" t="s">
        <v>59</v>
      </c>
      <c r="H413" s="9">
        <v>18</v>
      </c>
      <c r="I413" s="5">
        <v>43.65</v>
      </c>
      <c r="J413" s="5">
        <v>785.7</v>
      </c>
      <c r="K413" s="5">
        <v>54.52</v>
      </c>
      <c r="L413" s="5">
        <v>227.18</v>
      </c>
      <c r="M413" s="9" t="s">
        <v>28</v>
      </c>
      <c r="N413" s="9" t="s">
        <v>21</v>
      </c>
      <c r="O413" s="9" t="s">
        <v>22</v>
      </c>
    </row>
    <row r="414" spans="1:15" x14ac:dyDescent="0.3">
      <c r="A414" s="9" t="s">
        <v>846</v>
      </c>
      <c r="B414" s="10">
        <v>58215</v>
      </c>
      <c r="C414" s="9" t="s">
        <v>526</v>
      </c>
      <c r="D414" s="9" t="str">
        <f>PROPER(E414)</f>
        <v>France</v>
      </c>
      <c r="E414" s="9" t="s">
        <v>137</v>
      </c>
      <c r="F414" s="9" t="s">
        <v>18</v>
      </c>
      <c r="G414" s="9" t="s">
        <v>19</v>
      </c>
      <c r="H414" s="9">
        <v>49</v>
      </c>
      <c r="I414" s="5">
        <v>51.97</v>
      </c>
      <c r="J414" s="5">
        <v>2546.5300000000002</v>
      </c>
      <c r="K414" s="5">
        <v>112.26</v>
      </c>
      <c r="L414" s="5">
        <v>719.27</v>
      </c>
      <c r="M414" s="9" t="s">
        <v>28</v>
      </c>
      <c r="N414" s="9" t="s">
        <v>29</v>
      </c>
      <c r="O414" s="9" t="s">
        <v>30</v>
      </c>
    </row>
    <row r="415" spans="1:15" x14ac:dyDescent="0.3">
      <c r="A415" s="9" t="s">
        <v>847</v>
      </c>
      <c r="B415" s="10">
        <v>58246</v>
      </c>
      <c r="C415" s="9" t="s">
        <v>163</v>
      </c>
      <c r="D415" s="9" t="str">
        <f>PROPER(E415)</f>
        <v>Singapore</v>
      </c>
      <c r="E415" s="9" t="s">
        <v>82</v>
      </c>
      <c r="F415" s="9" t="s">
        <v>64</v>
      </c>
      <c r="G415" s="9" t="s">
        <v>65</v>
      </c>
      <c r="H415" s="9">
        <v>13</v>
      </c>
      <c r="I415" s="5">
        <v>36.85</v>
      </c>
      <c r="J415" s="5">
        <v>479.05</v>
      </c>
      <c r="K415" s="5">
        <v>10.15</v>
      </c>
      <c r="L415" s="5">
        <v>143.9</v>
      </c>
      <c r="M415" s="9" t="s">
        <v>20</v>
      </c>
      <c r="N415" s="9" t="s">
        <v>35</v>
      </c>
      <c r="O415" s="9" t="s">
        <v>66</v>
      </c>
    </row>
    <row r="416" spans="1:15" x14ac:dyDescent="0.3">
      <c r="A416" s="9" t="s">
        <v>848</v>
      </c>
      <c r="B416" s="10">
        <v>58276</v>
      </c>
      <c r="C416" s="9" t="s">
        <v>88</v>
      </c>
      <c r="D416" s="9" t="str">
        <f>PROPER(E416)</f>
        <v>Canada</v>
      </c>
      <c r="E416" s="9" t="s">
        <v>47</v>
      </c>
      <c r="F416" s="9" t="s">
        <v>40</v>
      </c>
      <c r="G416" s="9" t="s">
        <v>41</v>
      </c>
      <c r="H416" s="9">
        <v>33</v>
      </c>
      <c r="I416" s="5">
        <v>38.520000000000003</v>
      </c>
      <c r="J416" s="5">
        <v>1271.1600000000001</v>
      </c>
      <c r="K416" s="5">
        <v>81.459999999999994</v>
      </c>
      <c r="L416" s="5">
        <v>133.69999999999999</v>
      </c>
      <c r="M416" s="9" t="s">
        <v>20</v>
      </c>
      <c r="N416" s="9" t="s">
        <v>21</v>
      </c>
      <c r="O416" s="9" t="s">
        <v>22</v>
      </c>
    </row>
    <row r="417" spans="1:15" x14ac:dyDescent="0.3">
      <c r="A417" s="9" t="s">
        <v>850</v>
      </c>
      <c r="B417" s="10">
        <v>58307</v>
      </c>
      <c r="C417" s="9" t="s">
        <v>348</v>
      </c>
      <c r="D417" s="9" t="str">
        <f>PROPER(E417)</f>
        <v>China</v>
      </c>
      <c r="E417" s="9" t="s">
        <v>63</v>
      </c>
      <c r="F417" s="9" t="s">
        <v>69</v>
      </c>
      <c r="G417" s="9" t="s">
        <v>59</v>
      </c>
      <c r="H417" s="9">
        <v>41</v>
      </c>
      <c r="I417" s="5">
        <v>26.98</v>
      </c>
      <c r="J417" s="5">
        <v>1106.18</v>
      </c>
      <c r="K417" s="5">
        <v>51.77</v>
      </c>
      <c r="L417" s="5">
        <v>418.91</v>
      </c>
      <c r="M417" s="9" t="s">
        <v>42</v>
      </c>
      <c r="N417" s="9" t="s">
        <v>29</v>
      </c>
      <c r="O417" s="9" t="s">
        <v>66</v>
      </c>
    </row>
    <row r="418" spans="1:15" x14ac:dyDescent="0.3">
      <c r="A418" s="9" t="s">
        <v>851</v>
      </c>
      <c r="B418" s="10">
        <v>58338</v>
      </c>
      <c r="C418" s="9" t="s">
        <v>123</v>
      </c>
      <c r="D418" s="9" t="str">
        <f>PROPER(E418)</f>
        <v>France</v>
      </c>
      <c r="E418" s="9" t="s">
        <v>137</v>
      </c>
      <c r="F418" s="9" t="s">
        <v>69</v>
      </c>
      <c r="G418" s="9" t="s">
        <v>59</v>
      </c>
      <c r="H418" s="9">
        <v>4</v>
      </c>
      <c r="I418" s="5">
        <v>23.56</v>
      </c>
      <c r="J418" s="5">
        <v>94.24</v>
      </c>
      <c r="K418" s="5">
        <v>7.03</v>
      </c>
      <c r="L418" s="5">
        <v>25.21</v>
      </c>
      <c r="M418" s="9" t="s">
        <v>42</v>
      </c>
      <c r="N418" s="9" t="s">
        <v>35</v>
      </c>
      <c r="O418" s="9" t="s">
        <v>30</v>
      </c>
    </row>
    <row r="419" spans="1:15" x14ac:dyDescent="0.3">
      <c r="A419" s="9" t="s">
        <v>852</v>
      </c>
      <c r="B419" s="10">
        <v>58368</v>
      </c>
      <c r="C419" s="9" t="s">
        <v>438</v>
      </c>
      <c r="D419" s="9" t="str">
        <f>PROPER(E419)</f>
        <v>India</v>
      </c>
      <c r="E419" s="9" t="s">
        <v>249</v>
      </c>
      <c r="F419" s="9" t="s">
        <v>40</v>
      </c>
      <c r="G419" s="9" t="s">
        <v>41</v>
      </c>
      <c r="H419" s="9">
        <v>17</v>
      </c>
      <c r="I419" s="5">
        <v>57.14</v>
      </c>
      <c r="J419" s="5">
        <v>971.38</v>
      </c>
      <c r="K419" s="5">
        <v>70.010000000000005</v>
      </c>
      <c r="L419" s="5">
        <v>357.37</v>
      </c>
      <c r="M419" s="9" t="s">
        <v>42</v>
      </c>
      <c r="N419" s="9" t="s">
        <v>29</v>
      </c>
      <c r="O419" s="9" t="s">
        <v>66</v>
      </c>
    </row>
    <row r="420" spans="1:15" x14ac:dyDescent="0.3">
      <c r="A420" s="9" t="s">
        <v>853</v>
      </c>
      <c r="B420" s="10">
        <v>58399</v>
      </c>
      <c r="C420" s="9" t="s">
        <v>148</v>
      </c>
      <c r="D420" s="9" t="str">
        <f>PROPER(E420)</f>
        <v>Australia</v>
      </c>
      <c r="E420" s="9" t="s">
        <v>172</v>
      </c>
      <c r="F420" s="9" t="s">
        <v>64</v>
      </c>
      <c r="G420" s="9" t="s">
        <v>65</v>
      </c>
      <c r="H420" s="9">
        <v>44</v>
      </c>
      <c r="I420" s="5">
        <v>38.14</v>
      </c>
      <c r="J420" s="5">
        <v>1678.16</v>
      </c>
      <c r="K420" s="5">
        <v>124.49</v>
      </c>
      <c r="L420" s="5">
        <v>453.67</v>
      </c>
      <c r="M420" s="9" t="s">
        <v>42</v>
      </c>
      <c r="N420" s="9" t="s">
        <v>21</v>
      </c>
      <c r="O420" s="9" t="s">
        <v>173</v>
      </c>
    </row>
    <row r="421" spans="1:15" x14ac:dyDescent="0.3">
      <c r="A421" s="9" t="s">
        <v>855</v>
      </c>
      <c r="B421" s="10">
        <v>58429</v>
      </c>
      <c r="C421" s="9" t="s">
        <v>131</v>
      </c>
      <c r="D421" s="9" t="str">
        <f>PROPER(E421)</f>
        <v>South Africa</v>
      </c>
      <c r="E421" s="9" t="s">
        <v>107</v>
      </c>
      <c r="F421" s="9" t="s">
        <v>27</v>
      </c>
      <c r="G421" s="9" t="s">
        <v>19</v>
      </c>
      <c r="H421" s="9">
        <v>14</v>
      </c>
      <c r="I421" s="5">
        <v>24</v>
      </c>
      <c r="J421" s="5">
        <v>336</v>
      </c>
      <c r="K421" s="5">
        <v>22.88</v>
      </c>
      <c r="L421" s="5">
        <v>61.12</v>
      </c>
      <c r="M421" s="9" t="s">
        <v>28</v>
      </c>
      <c r="N421" s="9" t="s">
        <v>29</v>
      </c>
      <c r="O421" s="9" t="s">
        <v>108</v>
      </c>
    </row>
    <row r="422" spans="1:15" x14ac:dyDescent="0.3">
      <c r="A422" s="9" t="s">
        <v>856</v>
      </c>
      <c r="B422" s="10">
        <v>58460</v>
      </c>
      <c r="C422" s="9" t="s">
        <v>92</v>
      </c>
      <c r="D422" s="9" t="str">
        <f>PROPER(E422)</f>
        <v>China</v>
      </c>
      <c r="E422" s="9" t="s">
        <v>63</v>
      </c>
      <c r="F422" s="9" t="s">
        <v>69</v>
      </c>
      <c r="G422" s="9" t="s">
        <v>59</v>
      </c>
      <c r="H422" s="9">
        <v>50</v>
      </c>
      <c r="I422" s="5">
        <v>26.91</v>
      </c>
      <c r="J422" s="5">
        <v>1345.5</v>
      </c>
      <c r="K422" s="5">
        <v>91.7</v>
      </c>
      <c r="L422" s="5">
        <v>478.8</v>
      </c>
      <c r="M422" s="9" t="s">
        <v>42</v>
      </c>
      <c r="N422" s="9" t="s">
        <v>21</v>
      </c>
      <c r="O422" s="9" t="s">
        <v>66</v>
      </c>
    </row>
    <row r="423" spans="1:15" x14ac:dyDescent="0.3">
      <c r="A423" s="9" t="s">
        <v>858</v>
      </c>
      <c r="B423" s="10">
        <v>58491</v>
      </c>
      <c r="C423" s="9" t="s">
        <v>422</v>
      </c>
      <c r="D423" s="9" t="str">
        <f>PROPER(E423)</f>
        <v>Italy</v>
      </c>
      <c r="E423" s="9" t="s">
        <v>34</v>
      </c>
      <c r="F423" s="9" t="s">
        <v>48</v>
      </c>
      <c r="G423" s="9" t="s">
        <v>49</v>
      </c>
      <c r="H423" s="9">
        <v>7</v>
      </c>
      <c r="I423" s="5">
        <v>59.41</v>
      </c>
      <c r="J423" s="5">
        <v>415.87</v>
      </c>
      <c r="K423" s="5">
        <v>25.51</v>
      </c>
      <c r="L423" s="5">
        <v>110.36</v>
      </c>
      <c r="M423" s="9" t="s">
        <v>20</v>
      </c>
      <c r="N423" s="9" t="s">
        <v>35</v>
      </c>
      <c r="O423" s="9" t="s">
        <v>30</v>
      </c>
    </row>
    <row r="424" spans="1:15" x14ac:dyDescent="0.3">
      <c r="A424" s="9" t="s">
        <v>860</v>
      </c>
      <c r="B424" s="10">
        <v>58520</v>
      </c>
      <c r="C424" s="9" t="s">
        <v>363</v>
      </c>
      <c r="D424" s="9" t="str">
        <f>PROPER(E424)</f>
        <v>Japan</v>
      </c>
      <c r="E424" s="9" t="s">
        <v>93</v>
      </c>
      <c r="F424" s="9" t="s">
        <v>64</v>
      </c>
      <c r="G424" s="9" t="s">
        <v>65</v>
      </c>
      <c r="H424" s="9">
        <v>48</v>
      </c>
      <c r="I424" s="5">
        <v>37.31</v>
      </c>
      <c r="J424" s="5">
        <v>1790.88</v>
      </c>
      <c r="K424" s="5">
        <v>67.45</v>
      </c>
      <c r="L424" s="5">
        <v>523.42999999999995</v>
      </c>
      <c r="M424" s="9" t="s">
        <v>20</v>
      </c>
      <c r="N424" s="9" t="s">
        <v>29</v>
      </c>
      <c r="O424" s="9" t="s">
        <v>66</v>
      </c>
    </row>
    <row r="425" spans="1:15" x14ac:dyDescent="0.3">
      <c r="A425" s="9" t="s">
        <v>861</v>
      </c>
      <c r="B425" s="10">
        <v>58551</v>
      </c>
      <c r="C425" s="9" t="s">
        <v>252</v>
      </c>
      <c r="D425" s="9" t="str">
        <f>PROPER(E425)</f>
        <v>Uae</v>
      </c>
      <c r="E425" s="9" t="s">
        <v>89</v>
      </c>
      <c r="F425" s="9" t="s">
        <v>48</v>
      </c>
      <c r="G425" s="9" t="s">
        <v>49</v>
      </c>
      <c r="H425" s="9">
        <v>38</v>
      </c>
      <c r="I425" s="5">
        <v>52.91</v>
      </c>
      <c r="J425" s="5">
        <v>2010.58</v>
      </c>
      <c r="K425" s="5">
        <v>94.22</v>
      </c>
      <c r="L425" s="5">
        <v>396.36</v>
      </c>
      <c r="M425" s="9" t="s">
        <v>20</v>
      </c>
      <c r="N425" s="9" t="s">
        <v>21</v>
      </c>
      <c r="O425" s="9" t="s">
        <v>66</v>
      </c>
    </row>
    <row r="426" spans="1:15" x14ac:dyDescent="0.3">
      <c r="A426" s="9" t="s">
        <v>862</v>
      </c>
      <c r="B426" s="10">
        <v>58581</v>
      </c>
      <c r="C426" s="9" t="s">
        <v>79</v>
      </c>
      <c r="D426" s="9" t="str">
        <f>PROPER(E426)</f>
        <v>Uk</v>
      </c>
      <c r="E426" s="9" t="s">
        <v>26</v>
      </c>
      <c r="F426" s="9" t="s">
        <v>27</v>
      </c>
      <c r="G426" s="9" t="s">
        <v>19</v>
      </c>
      <c r="H426" s="9">
        <v>14</v>
      </c>
      <c r="I426" s="5">
        <v>27.09</v>
      </c>
      <c r="J426" s="5">
        <v>379.26</v>
      </c>
      <c r="K426" s="5">
        <v>14.42</v>
      </c>
      <c r="L426" s="5">
        <v>112.84</v>
      </c>
      <c r="M426" s="9" t="s">
        <v>42</v>
      </c>
      <c r="N426" s="9" t="s">
        <v>35</v>
      </c>
      <c r="O426" s="9" t="s">
        <v>30</v>
      </c>
    </row>
    <row r="427" spans="1:15" x14ac:dyDescent="0.3">
      <c r="A427" s="9" t="s">
        <v>864</v>
      </c>
      <c r="B427" s="10">
        <v>58612</v>
      </c>
      <c r="C427" s="9" t="s">
        <v>148</v>
      </c>
      <c r="D427" s="9" t="str">
        <f>PROPER(E427)</f>
        <v>Japan</v>
      </c>
      <c r="E427" s="9" t="s">
        <v>93</v>
      </c>
      <c r="F427" s="9" t="s">
        <v>58</v>
      </c>
      <c r="G427" s="9" t="s">
        <v>59</v>
      </c>
      <c r="H427" s="9">
        <v>41</v>
      </c>
      <c r="I427" s="5">
        <v>30.52</v>
      </c>
      <c r="J427" s="5">
        <v>1251.32</v>
      </c>
      <c r="K427" s="5">
        <v>56.88</v>
      </c>
      <c r="L427" s="5">
        <v>271.94</v>
      </c>
      <c r="M427" s="9" t="s">
        <v>20</v>
      </c>
      <c r="N427" s="9" t="s">
        <v>35</v>
      </c>
      <c r="O427" s="9" t="s">
        <v>66</v>
      </c>
    </row>
    <row r="428" spans="1:15" x14ac:dyDescent="0.3">
      <c r="A428" s="9" t="s">
        <v>865</v>
      </c>
      <c r="B428" s="10">
        <v>58642</v>
      </c>
      <c r="C428" s="9" t="s">
        <v>336</v>
      </c>
      <c r="D428" s="9" t="str">
        <f>PROPER(E428)</f>
        <v>Canada</v>
      </c>
      <c r="E428" s="9" t="s">
        <v>47</v>
      </c>
      <c r="F428" s="9" t="s">
        <v>103</v>
      </c>
      <c r="G428" s="9" t="s">
        <v>59</v>
      </c>
      <c r="H428" s="9">
        <v>23</v>
      </c>
      <c r="I428" s="5">
        <v>40.94</v>
      </c>
      <c r="J428" s="5">
        <v>941.62</v>
      </c>
      <c r="K428" s="5">
        <v>71.66</v>
      </c>
      <c r="L428" s="5">
        <v>225.96</v>
      </c>
      <c r="M428" s="9" t="s">
        <v>28</v>
      </c>
      <c r="N428" s="9" t="s">
        <v>35</v>
      </c>
      <c r="O428" s="9" t="s">
        <v>22</v>
      </c>
    </row>
    <row r="429" spans="1:15" x14ac:dyDescent="0.3">
      <c r="A429" s="9" t="s">
        <v>867</v>
      </c>
      <c r="B429" s="10">
        <v>58673</v>
      </c>
      <c r="C429" s="9" t="s">
        <v>438</v>
      </c>
      <c r="D429" s="9" t="str">
        <f>PROPER(E429)</f>
        <v>Germany</v>
      </c>
      <c r="E429" s="9" t="s">
        <v>207</v>
      </c>
      <c r="F429" s="9" t="s">
        <v>103</v>
      </c>
      <c r="G429" s="9" t="s">
        <v>59</v>
      </c>
      <c r="H429" s="9">
        <v>34</v>
      </c>
      <c r="I429" s="5">
        <v>41.77</v>
      </c>
      <c r="J429" s="5">
        <v>1420.18</v>
      </c>
      <c r="K429" s="5">
        <v>112.45</v>
      </c>
      <c r="L429" s="5">
        <v>355.73</v>
      </c>
      <c r="M429" s="9" t="s">
        <v>28</v>
      </c>
      <c r="N429" s="9" t="s">
        <v>35</v>
      </c>
      <c r="O429" s="9" t="s">
        <v>30</v>
      </c>
    </row>
    <row r="430" spans="1:15" x14ac:dyDescent="0.3">
      <c r="A430" s="9" t="s">
        <v>868</v>
      </c>
      <c r="B430" s="10">
        <v>58704</v>
      </c>
      <c r="C430" s="9" t="s">
        <v>131</v>
      </c>
      <c r="D430" s="9" t="str">
        <f>PROPER(E430)</f>
        <v>India</v>
      </c>
      <c r="E430" s="9" t="s">
        <v>249</v>
      </c>
      <c r="F430" s="9" t="s">
        <v>48</v>
      </c>
      <c r="G430" s="9" t="s">
        <v>49</v>
      </c>
      <c r="H430" s="9">
        <v>32</v>
      </c>
      <c r="I430" s="5">
        <v>69.98</v>
      </c>
      <c r="J430" s="5">
        <v>2239.36</v>
      </c>
      <c r="K430" s="5">
        <v>133.51</v>
      </c>
      <c r="L430" s="5">
        <v>825.85</v>
      </c>
      <c r="M430" s="9" t="s">
        <v>42</v>
      </c>
      <c r="N430" s="9" t="s">
        <v>21</v>
      </c>
      <c r="O430" s="9" t="s">
        <v>66</v>
      </c>
    </row>
    <row r="431" spans="1:15" x14ac:dyDescent="0.3">
      <c r="A431" s="9" t="s">
        <v>870</v>
      </c>
      <c r="B431" s="10">
        <v>58734</v>
      </c>
      <c r="C431" s="9" t="s">
        <v>232</v>
      </c>
      <c r="D431" s="9" t="str">
        <f>PROPER(E431)</f>
        <v>Uk</v>
      </c>
      <c r="E431" s="9" t="s">
        <v>26</v>
      </c>
      <c r="F431" s="9" t="s">
        <v>18</v>
      </c>
      <c r="G431" s="9" t="s">
        <v>19</v>
      </c>
      <c r="H431" s="9">
        <v>25</v>
      </c>
      <c r="I431" s="5">
        <v>42.91</v>
      </c>
      <c r="J431" s="5">
        <v>1072.75</v>
      </c>
      <c r="K431" s="5">
        <v>80.02</v>
      </c>
      <c r="L431" s="5">
        <v>117.73</v>
      </c>
      <c r="M431" s="9" t="s">
        <v>28</v>
      </c>
      <c r="N431" s="9" t="s">
        <v>29</v>
      </c>
      <c r="O431" s="9" t="s">
        <v>30</v>
      </c>
    </row>
    <row r="432" spans="1:15" x14ac:dyDescent="0.3">
      <c r="A432" s="9" t="s">
        <v>871</v>
      </c>
      <c r="B432" s="10">
        <v>58765</v>
      </c>
      <c r="C432" s="9" t="s">
        <v>610</v>
      </c>
      <c r="D432" s="9" t="str">
        <f>PROPER(E432)</f>
        <v>Canada</v>
      </c>
      <c r="E432" s="9" t="s">
        <v>47</v>
      </c>
      <c r="F432" s="9" t="s">
        <v>73</v>
      </c>
      <c r="G432" s="9" t="s">
        <v>41</v>
      </c>
      <c r="H432" s="9">
        <v>7</v>
      </c>
      <c r="I432" s="5">
        <v>22.6</v>
      </c>
      <c r="J432" s="5">
        <v>158.19999999999999</v>
      </c>
      <c r="K432" s="5">
        <v>7.04</v>
      </c>
      <c r="L432" s="5">
        <v>61.91</v>
      </c>
      <c r="M432" s="9" t="s">
        <v>42</v>
      </c>
      <c r="N432" s="9" t="s">
        <v>21</v>
      </c>
      <c r="O432" s="9" t="s">
        <v>22</v>
      </c>
    </row>
    <row r="433" spans="1:15" x14ac:dyDescent="0.3">
      <c r="A433" s="9" t="s">
        <v>872</v>
      </c>
      <c r="B433" s="10">
        <v>58795</v>
      </c>
      <c r="C433" s="9" t="s">
        <v>111</v>
      </c>
      <c r="D433" s="9" t="str">
        <f>PROPER(E433)</f>
        <v>Usa</v>
      </c>
      <c r="E433" s="9" t="s">
        <v>17</v>
      </c>
      <c r="F433" s="9" t="s">
        <v>73</v>
      </c>
      <c r="G433" s="9" t="s">
        <v>41</v>
      </c>
      <c r="H433" s="9">
        <v>48</v>
      </c>
      <c r="I433" s="5">
        <v>19.5</v>
      </c>
      <c r="J433" s="5">
        <v>936</v>
      </c>
      <c r="K433" s="5">
        <v>70.069999999999993</v>
      </c>
      <c r="L433" s="5">
        <v>253.93</v>
      </c>
      <c r="M433" s="9" t="s">
        <v>20</v>
      </c>
      <c r="N433" s="9" t="s">
        <v>29</v>
      </c>
      <c r="O433" s="9" t="s">
        <v>22</v>
      </c>
    </row>
    <row r="434" spans="1:15" x14ac:dyDescent="0.3">
      <c r="A434" s="9" t="s">
        <v>874</v>
      </c>
      <c r="B434" s="10">
        <v>58826</v>
      </c>
      <c r="C434" s="9" t="s">
        <v>33</v>
      </c>
      <c r="D434" s="9" t="str">
        <f>PROPER(E434)</f>
        <v>Australia</v>
      </c>
      <c r="E434" s="9" t="s">
        <v>172</v>
      </c>
      <c r="F434" s="9" t="s">
        <v>48</v>
      </c>
      <c r="G434" s="9" t="s">
        <v>49</v>
      </c>
      <c r="H434" s="9">
        <v>32</v>
      </c>
      <c r="I434" s="5">
        <v>49.97</v>
      </c>
      <c r="J434" s="5">
        <v>1599.04</v>
      </c>
      <c r="K434" s="5">
        <v>43.1</v>
      </c>
      <c r="L434" s="5">
        <v>275.94</v>
      </c>
      <c r="M434" s="9" t="s">
        <v>28</v>
      </c>
      <c r="N434" s="9" t="s">
        <v>35</v>
      </c>
      <c r="O434" s="9" t="s">
        <v>173</v>
      </c>
    </row>
    <row r="435" spans="1:15" x14ac:dyDescent="0.3">
      <c r="A435" s="9" t="s">
        <v>875</v>
      </c>
      <c r="B435" s="10">
        <v>58857</v>
      </c>
      <c r="C435" s="9" t="s">
        <v>16</v>
      </c>
      <c r="D435" s="9" t="str">
        <f>PROPER(E435)</f>
        <v>France</v>
      </c>
      <c r="E435" s="9" t="s">
        <v>137</v>
      </c>
      <c r="F435" s="9" t="s">
        <v>69</v>
      </c>
      <c r="G435" s="9" t="s">
        <v>59</v>
      </c>
      <c r="H435" s="9">
        <v>41</v>
      </c>
      <c r="I435" s="5">
        <v>25.62</v>
      </c>
      <c r="J435" s="5">
        <v>1050.42</v>
      </c>
      <c r="K435" s="5">
        <v>79.2</v>
      </c>
      <c r="L435" s="5">
        <v>335.72</v>
      </c>
      <c r="M435" s="9" t="s">
        <v>20</v>
      </c>
      <c r="N435" s="9" t="s">
        <v>29</v>
      </c>
      <c r="O435" s="9" t="s">
        <v>30</v>
      </c>
    </row>
    <row r="436" spans="1:15" x14ac:dyDescent="0.3">
      <c r="A436" s="9" t="s">
        <v>876</v>
      </c>
      <c r="B436" s="10">
        <v>58885</v>
      </c>
      <c r="C436" s="9" t="s">
        <v>432</v>
      </c>
      <c r="D436" s="9" t="str">
        <f>PROPER(E436)</f>
        <v>Usa</v>
      </c>
      <c r="E436" s="9" t="s">
        <v>17</v>
      </c>
      <c r="F436" s="9" t="s">
        <v>73</v>
      </c>
      <c r="G436" s="9" t="s">
        <v>41</v>
      </c>
      <c r="H436" s="9">
        <v>46</v>
      </c>
      <c r="I436" s="5">
        <v>16.78</v>
      </c>
      <c r="J436" s="5">
        <v>771.88</v>
      </c>
      <c r="K436" s="5">
        <v>18.04</v>
      </c>
      <c r="L436" s="5">
        <v>167.34</v>
      </c>
      <c r="M436" s="9" t="s">
        <v>42</v>
      </c>
      <c r="N436" s="9" t="s">
        <v>35</v>
      </c>
      <c r="O436" s="9" t="s">
        <v>22</v>
      </c>
    </row>
    <row r="437" spans="1:15" x14ac:dyDescent="0.3">
      <c r="A437" s="9" t="s">
        <v>877</v>
      </c>
      <c r="B437" s="10">
        <v>58916</v>
      </c>
      <c r="C437" s="9" t="s">
        <v>472</v>
      </c>
      <c r="D437" s="9" t="str">
        <f>PROPER(E437)</f>
        <v>Italy</v>
      </c>
      <c r="E437" s="9" t="s">
        <v>34</v>
      </c>
      <c r="F437" s="9" t="s">
        <v>40</v>
      </c>
      <c r="G437" s="9" t="s">
        <v>41</v>
      </c>
      <c r="H437" s="9">
        <v>16</v>
      </c>
      <c r="I437" s="5">
        <v>42.18</v>
      </c>
      <c r="J437" s="5">
        <v>674.88</v>
      </c>
      <c r="K437" s="5">
        <v>19.100000000000001</v>
      </c>
      <c r="L437" s="5">
        <v>143.78</v>
      </c>
      <c r="M437" s="9" t="s">
        <v>20</v>
      </c>
      <c r="N437" s="9" t="s">
        <v>35</v>
      </c>
      <c r="O437" s="9" t="s">
        <v>30</v>
      </c>
    </row>
    <row r="438" spans="1:15" x14ac:dyDescent="0.3">
      <c r="A438" s="9" t="s">
        <v>879</v>
      </c>
      <c r="B438" s="10">
        <v>58946</v>
      </c>
      <c r="C438" s="9" t="s">
        <v>79</v>
      </c>
      <c r="D438" s="9" t="str">
        <f>PROPER(E438)</f>
        <v>France</v>
      </c>
      <c r="E438" s="9" t="s">
        <v>137</v>
      </c>
      <c r="F438" s="9" t="s">
        <v>64</v>
      </c>
      <c r="G438" s="9" t="s">
        <v>65</v>
      </c>
      <c r="H438" s="9">
        <v>12</v>
      </c>
      <c r="I438" s="5">
        <v>34.97</v>
      </c>
      <c r="J438" s="5">
        <v>419.64</v>
      </c>
      <c r="K438" s="5">
        <v>28.48</v>
      </c>
      <c r="L438" s="5">
        <v>91.16</v>
      </c>
      <c r="M438" s="9" t="s">
        <v>20</v>
      </c>
      <c r="N438" s="9" t="s">
        <v>21</v>
      </c>
      <c r="O438" s="9" t="s">
        <v>30</v>
      </c>
    </row>
    <row r="439" spans="1:15" x14ac:dyDescent="0.3">
      <c r="A439" s="9" t="s">
        <v>880</v>
      </c>
      <c r="B439" s="10">
        <v>58977</v>
      </c>
      <c r="C439" s="9" t="s">
        <v>185</v>
      </c>
      <c r="D439" s="9" t="str">
        <f>PROPER(E439)</f>
        <v>Brazil</v>
      </c>
      <c r="E439" s="9" t="s">
        <v>39</v>
      </c>
      <c r="F439" s="9" t="s">
        <v>54</v>
      </c>
      <c r="G439" s="9" t="s">
        <v>41</v>
      </c>
      <c r="H439" s="9">
        <v>31</v>
      </c>
      <c r="I439" s="5">
        <v>33.619999999999997</v>
      </c>
      <c r="J439" s="5">
        <v>1042.22</v>
      </c>
      <c r="K439" s="5">
        <v>26.33</v>
      </c>
      <c r="L439" s="5">
        <v>395.89</v>
      </c>
      <c r="M439" s="9" t="s">
        <v>42</v>
      </c>
      <c r="N439" s="9" t="s">
        <v>35</v>
      </c>
      <c r="O439" s="9" t="s">
        <v>43</v>
      </c>
    </row>
    <row r="440" spans="1:15" x14ac:dyDescent="0.3">
      <c r="A440" s="9" t="s">
        <v>881</v>
      </c>
      <c r="B440" s="10">
        <v>59007</v>
      </c>
      <c r="C440" s="9" t="s">
        <v>633</v>
      </c>
      <c r="D440" s="9" t="str">
        <f>PROPER(E440)</f>
        <v>Uae</v>
      </c>
      <c r="E440" s="9" t="s">
        <v>89</v>
      </c>
      <c r="F440" s="9" t="s">
        <v>58</v>
      </c>
      <c r="G440" s="9" t="s">
        <v>59</v>
      </c>
      <c r="H440" s="9">
        <v>40</v>
      </c>
      <c r="I440" s="5">
        <v>30.56</v>
      </c>
      <c r="J440" s="5">
        <v>1222.4000000000001</v>
      </c>
      <c r="K440" s="5">
        <v>26.42</v>
      </c>
      <c r="L440" s="5">
        <v>295.98</v>
      </c>
      <c r="M440" s="9" t="s">
        <v>20</v>
      </c>
      <c r="N440" s="9" t="s">
        <v>21</v>
      </c>
      <c r="O440" s="9" t="s">
        <v>66</v>
      </c>
    </row>
    <row r="441" spans="1:15" x14ac:dyDescent="0.3">
      <c r="A441" s="9" t="s">
        <v>882</v>
      </c>
      <c r="B441" s="10">
        <v>59038</v>
      </c>
      <c r="C441" s="9" t="s">
        <v>193</v>
      </c>
      <c r="D441" s="9" t="str">
        <f>PROPER(E441)</f>
        <v>Germany</v>
      </c>
      <c r="E441" s="9" t="s">
        <v>207</v>
      </c>
      <c r="F441" s="9" t="s">
        <v>18</v>
      </c>
      <c r="G441" s="9" t="s">
        <v>19</v>
      </c>
      <c r="H441" s="9">
        <v>15</v>
      </c>
      <c r="I441" s="5">
        <v>61.93</v>
      </c>
      <c r="J441" s="5">
        <v>928.95</v>
      </c>
      <c r="K441" s="5">
        <v>25.68</v>
      </c>
      <c r="L441" s="5">
        <v>378.27</v>
      </c>
      <c r="M441" s="9" t="s">
        <v>28</v>
      </c>
      <c r="N441" s="9" t="s">
        <v>35</v>
      </c>
      <c r="O441" s="9" t="s">
        <v>30</v>
      </c>
    </row>
    <row r="442" spans="1:15" x14ac:dyDescent="0.3">
      <c r="A442" s="9" t="s">
        <v>884</v>
      </c>
      <c r="B442" s="10">
        <v>59069</v>
      </c>
      <c r="C442" s="9" t="s">
        <v>160</v>
      </c>
      <c r="D442" s="9" t="str">
        <f>PROPER(E442)</f>
        <v>China</v>
      </c>
      <c r="E442" s="9" t="s">
        <v>63</v>
      </c>
      <c r="F442" s="9" t="s">
        <v>54</v>
      </c>
      <c r="G442" s="9" t="s">
        <v>41</v>
      </c>
      <c r="H442" s="9">
        <v>20</v>
      </c>
      <c r="I442" s="5">
        <v>35.770000000000003</v>
      </c>
      <c r="J442" s="5">
        <v>715.4</v>
      </c>
      <c r="K442" s="5">
        <v>39.229999999999997</v>
      </c>
      <c r="L442" s="5">
        <v>276.17</v>
      </c>
      <c r="M442" s="9" t="s">
        <v>20</v>
      </c>
      <c r="N442" s="9" t="s">
        <v>21</v>
      </c>
      <c r="O442" s="9" t="s">
        <v>66</v>
      </c>
    </row>
    <row r="443" spans="1:15" x14ac:dyDescent="0.3">
      <c r="A443" s="9" t="s">
        <v>886</v>
      </c>
      <c r="B443" s="10">
        <v>59099</v>
      </c>
      <c r="C443" s="9" t="s">
        <v>358</v>
      </c>
      <c r="D443" s="9" t="str">
        <f>PROPER(E443)</f>
        <v>Uk</v>
      </c>
      <c r="E443" s="9" t="s">
        <v>26</v>
      </c>
      <c r="F443" s="9" t="s">
        <v>73</v>
      </c>
      <c r="G443" s="9" t="s">
        <v>41</v>
      </c>
      <c r="H443" s="9">
        <v>21</v>
      </c>
      <c r="I443" s="5">
        <v>22.48</v>
      </c>
      <c r="J443" s="5">
        <v>472.08</v>
      </c>
      <c r="K443" s="5">
        <v>12.96</v>
      </c>
      <c r="L443" s="5">
        <v>191.37</v>
      </c>
      <c r="M443" s="9" t="s">
        <v>28</v>
      </c>
      <c r="N443" s="9" t="s">
        <v>21</v>
      </c>
      <c r="O443" s="9" t="s">
        <v>30</v>
      </c>
    </row>
    <row r="444" spans="1:15" x14ac:dyDescent="0.3">
      <c r="A444" s="9" t="s">
        <v>887</v>
      </c>
      <c r="B444" s="10">
        <v>59130</v>
      </c>
      <c r="C444" s="9" t="s">
        <v>404</v>
      </c>
      <c r="D444" s="9" t="str">
        <f>PROPER(E444)</f>
        <v>China</v>
      </c>
      <c r="E444" s="9" t="s">
        <v>63</v>
      </c>
      <c r="F444" s="9" t="s">
        <v>27</v>
      </c>
      <c r="G444" s="9" t="s">
        <v>19</v>
      </c>
      <c r="H444" s="9">
        <v>8</v>
      </c>
      <c r="I444" s="5">
        <v>27.53</v>
      </c>
      <c r="J444" s="5">
        <v>220.24</v>
      </c>
      <c r="K444" s="5">
        <v>12.66</v>
      </c>
      <c r="L444" s="5">
        <v>63.58</v>
      </c>
      <c r="M444" s="9" t="s">
        <v>28</v>
      </c>
      <c r="N444" s="9" t="s">
        <v>29</v>
      </c>
      <c r="O444" s="9" t="s">
        <v>66</v>
      </c>
    </row>
    <row r="445" spans="1:15" x14ac:dyDescent="0.3">
      <c r="A445" s="9" t="s">
        <v>889</v>
      </c>
      <c r="B445" s="10">
        <v>59160</v>
      </c>
      <c r="C445" s="9" t="s">
        <v>327</v>
      </c>
      <c r="D445" s="9" t="str">
        <f>PROPER(E445)</f>
        <v>India</v>
      </c>
      <c r="E445" s="9" t="s">
        <v>249</v>
      </c>
      <c r="F445" s="9" t="s">
        <v>58</v>
      </c>
      <c r="G445" s="9" t="s">
        <v>59</v>
      </c>
      <c r="H445" s="9">
        <v>35</v>
      </c>
      <c r="I445" s="5">
        <v>39.65</v>
      </c>
      <c r="J445" s="5">
        <v>1387.75</v>
      </c>
      <c r="K445" s="5">
        <v>60.95</v>
      </c>
      <c r="L445" s="5">
        <v>539.29999999999995</v>
      </c>
      <c r="M445" s="9" t="s">
        <v>42</v>
      </c>
      <c r="N445" s="9" t="s">
        <v>29</v>
      </c>
      <c r="O445" s="9" t="s">
        <v>66</v>
      </c>
    </row>
    <row r="446" spans="1:15" x14ac:dyDescent="0.3">
      <c r="A446" s="9" t="s">
        <v>890</v>
      </c>
      <c r="B446" s="10">
        <v>59191</v>
      </c>
      <c r="C446" s="9" t="s">
        <v>255</v>
      </c>
      <c r="D446" s="9" t="str">
        <f>PROPER(E446)</f>
        <v>South Africa</v>
      </c>
      <c r="E446" s="9" t="s">
        <v>107</v>
      </c>
      <c r="F446" s="9" t="s">
        <v>69</v>
      </c>
      <c r="G446" s="9" t="s">
        <v>59</v>
      </c>
      <c r="H446" s="9">
        <v>50</v>
      </c>
      <c r="I446" s="5">
        <v>23.68</v>
      </c>
      <c r="J446" s="5">
        <v>1184</v>
      </c>
      <c r="K446" s="5">
        <v>46.62</v>
      </c>
      <c r="L446" s="5">
        <v>362.38</v>
      </c>
      <c r="M446" s="9" t="s">
        <v>28</v>
      </c>
      <c r="N446" s="9" t="s">
        <v>29</v>
      </c>
      <c r="O446" s="9" t="s">
        <v>108</v>
      </c>
    </row>
    <row r="447" spans="1:15" x14ac:dyDescent="0.3">
      <c r="A447" s="9" t="s">
        <v>892</v>
      </c>
      <c r="B447" s="10">
        <v>59222</v>
      </c>
      <c r="C447" s="9" t="s">
        <v>257</v>
      </c>
      <c r="D447" s="9" t="str">
        <f>PROPER(E447)</f>
        <v>Uae</v>
      </c>
      <c r="E447" s="9" t="s">
        <v>89</v>
      </c>
      <c r="F447" s="9" t="s">
        <v>73</v>
      </c>
      <c r="G447" s="9" t="s">
        <v>41</v>
      </c>
      <c r="H447" s="9">
        <v>5</v>
      </c>
      <c r="I447" s="5">
        <v>19.809999999999999</v>
      </c>
      <c r="J447" s="5">
        <v>99.05</v>
      </c>
      <c r="K447" s="5">
        <v>5.91</v>
      </c>
      <c r="L447" s="5">
        <v>29.39</v>
      </c>
      <c r="M447" s="9" t="s">
        <v>28</v>
      </c>
      <c r="N447" s="9" t="s">
        <v>35</v>
      </c>
      <c r="O447" s="9" t="s">
        <v>66</v>
      </c>
    </row>
    <row r="448" spans="1:15" x14ac:dyDescent="0.3">
      <c r="A448" s="9" t="s">
        <v>893</v>
      </c>
      <c r="B448" s="10">
        <v>59250</v>
      </c>
      <c r="C448" s="9" t="s">
        <v>92</v>
      </c>
      <c r="D448" s="9" t="str">
        <f>PROPER(E448)</f>
        <v>Brazil</v>
      </c>
      <c r="E448" s="9" t="s">
        <v>39</v>
      </c>
      <c r="F448" s="9" t="s">
        <v>73</v>
      </c>
      <c r="G448" s="9" t="s">
        <v>41</v>
      </c>
      <c r="H448" s="9">
        <v>27</v>
      </c>
      <c r="I448" s="5">
        <v>18.03</v>
      </c>
      <c r="J448" s="5">
        <v>486.81</v>
      </c>
      <c r="K448" s="5">
        <v>36.630000000000003</v>
      </c>
      <c r="L448" s="5">
        <v>105.93</v>
      </c>
      <c r="M448" s="9" t="s">
        <v>20</v>
      </c>
      <c r="N448" s="9" t="s">
        <v>35</v>
      </c>
      <c r="O448" s="9" t="s">
        <v>43</v>
      </c>
    </row>
    <row r="449" spans="1:15" x14ac:dyDescent="0.3">
      <c r="A449" s="9" t="s">
        <v>894</v>
      </c>
      <c r="B449" s="10">
        <v>59281</v>
      </c>
      <c r="C449" s="9" t="s">
        <v>384</v>
      </c>
      <c r="D449" s="9" t="str">
        <f>PROPER(E449)</f>
        <v>South Africa</v>
      </c>
      <c r="E449" s="9" t="s">
        <v>107</v>
      </c>
      <c r="F449" s="9" t="s">
        <v>27</v>
      </c>
      <c r="G449" s="9" t="s">
        <v>19</v>
      </c>
      <c r="H449" s="9">
        <v>45</v>
      </c>
      <c r="I449" s="5">
        <v>26.93</v>
      </c>
      <c r="J449" s="5">
        <v>1211.8499999999999</v>
      </c>
      <c r="K449" s="5">
        <v>62.85</v>
      </c>
      <c r="L449" s="5">
        <v>339</v>
      </c>
      <c r="M449" s="9" t="s">
        <v>28</v>
      </c>
      <c r="N449" s="9" t="s">
        <v>29</v>
      </c>
      <c r="O449" s="9" t="s">
        <v>108</v>
      </c>
    </row>
    <row r="450" spans="1:15" x14ac:dyDescent="0.3">
      <c r="A450" s="9" t="s">
        <v>896</v>
      </c>
      <c r="B450" s="10">
        <v>59311</v>
      </c>
      <c r="C450" s="9" t="s">
        <v>472</v>
      </c>
      <c r="D450" s="9" t="str">
        <f>PROPER(E450)</f>
        <v>Italy</v>
      </c>
      <c r="E450" s="9" t="s">
        <v>34</v>
      </c>
      <c r="F450" s="9" t="s">
        <v>54</v>
      </c>
      <c r="G450" s="9" t="s">
        <v>41</v>
      </c>
      <c r="H450" s="9">
        <v>40</v>
      </c>
      <c r="I450" s="5">
        <v>32.54</v>
      </c>
      <c r="J450" s="5">
        <v>1301.5999999999999</v>
      </c>
      <c r="K450" s="5">
        <v>47.06</v>
      </c>
      <c r="L450" s="5">
        <v>454.54</v>
      </c>
      <c r="M450" s="9" t="s">
        <v>20</v>
      </c>
      <c r="N450" s="9" t="s">
        <v>29</v>
      </c>
      <c r="O450" s="9" t="s">
        <v>30</v>
      </c>
    </row>
    <row r="451" spans="1:15" x14ac:dyDescent="0.3">
      <c r="A451" s="9" t="s">
        <v>898</v>
      </c>
      <c r="B451" s="10">
        <v>59342</v>
      </c>
      <c r="C451" s="9" t="s">
        <v>106</v>
      </c>
      <c r="D451" s="9" t="str">
        <f>PROPER(E451)</f>
        <v>India</v>
      </c>
      <c r="E451" s="9" t="s">
        <v>249</v>
      </c>
      <c r="F451" s="9" t="s">
        <v>58</v>
      </c>
      <c r="G451" s="9" t="s">
        <v>59</v>
      </c>
      <c r="H451" s="9">
        <v>26</v>
      </c>
      <c r="I451" s="5">
        <v>35.32</v>
      </c>
      <c r="J451" s="5">
        <v>918.32</v>
      </c>
      <c r="K451" s="5">
        <v>60.02</v>
      </c>
      <c r="L451" s="5">
        <v>273.3</v>
      </c>
      <c r="M451" s="9" t="s">
        <v>42</v>
      </c>
      <c r="N451" s="9" t="s">
        <v>21</v>
      </c>
      <c r="O451" s="9" t="s">
        <v>66</v>
      </c>
    </row>
    <row r="452" spans="1:15" x14ac:dyDescent="0.3">
      <c r="A452" s="9" t="s">
        <v>899</v>
      </c>
      <c r="B452" s="10">
        <v>59372</v>
      </c>
      <c r="C452" s="9" t="s">
        <v>117</v>
      </c>
      <c r="D452" s="9" t="str">
        <f>PROPER(E452)</f>
        <v>Brazil</v>
      </c>
      <c r="E452" s="9" t="s">
        <v>39</v>
      </c>
      <c r="F452" s="9" t="s">
        <v>73</v>
      </c>
      <c r="G452" s="9" t="s">
        <v>41</v>
      </c>
      <c r="H452" s="9">
        <v>16</v>
      </c>
      <c r="I452" s="5">
        <v>16.440000000000001</v>
      </c>
      <c r="J452" s="5">
        <v>263.04000000000002</v>
      </c>
      <c r="K452" s="5">
        <v>17.64</v>
      </c>
      <c r="L452" s="5">
        <v>41.4</v>
      </c>
      <c r="M452" s="9" t="s">
        <v>20</v>
      </c>
      <c r="N452" s="9" t="s">
        <v>21</v>
      </c>
      <c r="O452" s="9" t="s">
        <v>43</v>
      </c>
    </row>
    <row r="453" spans="1:15" x14ac:dyDescent="0.3">
      <c r="A453" s="9" t="s">
        <v>900</v>
      </c>
      <c r="B453" s="10">
        <v>59403</v>
      </c>
      <c r="C453" s="9" t="s">
        <v>327</v>
      </c>
      <c r="D453" s="9" t="str">
        <f>PROPER(E453)</f>
        <v>France</v>
      </c>
      <c r="E453" s="9" t="s">
        <v>137</v>
      </c>
      <c r="F453" s="9" t="s">
        <v>103</v>
      </c>
      <c r="G453" s="9" t="s">
        <v>59</v>
      </c>
      <c r="H453" s="9">
        <v>39</v>
      </c>
      <c r="I453" s="5">
        <v>46.27</v>
      </c>
      <c r="J453" s="5">
        <v>1804.53</v>
      </c>
      <c r="K453" s="5">
        <v>38.57</v>
      </c>
      <c r="L453" s="5">
        <v>673.96</v>
      </c>
      <c r="M453" s="9" t="s">
        <v>42</v>
      </c>
      <c r="N453" s="9" t="s">
        <v>35</v>
      </c>
      <c r="O453" s="9" t="s">
        <v>30</v>
      </c>
    </row>
    <row r="454" spans="1:15" x14ac:dyDescent="0.3">
      <c r="A454" s="9" t="s">
        <v>901</v>
      </c>
      <c r="B454" s="10">
        <v>59434</v>
      </c>
      <c r="C454" s="9" t="s">
        <v>212</v>
      </c>
      <c r="D454" s="9" t="str">
        <f>PROPER(E454)</f>
        <v>Uk</v>
      </c>
      <c r="E454" s="9" t="s">
        <v>26</v>
      </c>
      <c r="F454" s="9" t="s">
        <v>64</v>
      </c>
      <c r="G454" s="9" t="s">
        <v>65</v>
      </c>
      <c r="H454" s="9">
        <v>15</v>
      </c>
      <c r="I454" s="5">
        <v>33.22</v>
      </c>
      <c r="J454" s="5">
        <v>498.3</v>
      </c>
      <c r="K454" s="5">
        <v>36.85</v>
      </c>
      <c r="L454" s="5">
        <v>86.45</v>
      </c>
      <c r="M454" s="9" t="s">
        <v>42</v>
      </c>
      <c r="N454" s="9" t="s">
        <v>35</v>
      </c>
      <c r="O454" s="9" t="s">
        <v>30</v>
      </c>
    </row>
    <row r="455" spans="1:15" x14ac:dyDescent="0.3">
      <c r="A455" s="9" t="s">
        <v>902</v>
      </c>
      <c r="B455" s="10">
        <v>59464</v>
      </c>
      <c r="C455" s="9" t="s">
        <v>295</v>
      </c>
      <c r="D455" s="9" t="str">
        <f>PROPER(E455)</f>
        <v>South Africa</v>
      </c>
      <c r="E455" s="9" t="s">
        <v>107</v>
      </c>
      <c r="F455" s="9" t="s">
        <v>48</v>
      </c>
      <c r="G455" s="9" t="s">
        <v>49</v>
      </c>
      <c r="H455" s="9">
        <v>35</v>
      </c>
      <c r="I455" s="5">
        <v>71.02</v>
      </c>
      <c r="J455" s="5">
        <v>2485.6999999999998</v>
      </c>
      <c r="K455" s="5">
        <v>137.22</v>
      </c>
      <c r="L455" s="5">
        <v>948.48</v>
      </c>
      <c r="M455" s="9" t="s">
        <v>28</v>
      </c>
      <c r="N455" s="9" t="s">
        <v>29</v>
      </c>
      <c r="O455" s="9" t="s">
        <v>108</v>
      </c>
    </row>
    <row r="456" spans="1:15" x14ac:dyDescent="0.3">
      <c r="A456" s="9" t="s">
        <v>903</v>
      </c>
      <c r="B456" s="10">
        <v>59495</v>
      </c>
      <c r="C456" s="9" t="s">
        <v>131</v>
      </c>
      <c r="D456" s="9" t="str">
        <f>PROPER(E456)</f>
        <v>Uae</v>
      </c>
      <c r="E456" s="9" t="s">
        <v>89</v>
      </c>
      <c r="F456" s="9" t="s">
        <v>103</v>
      </c>
      <c r="G456" s="9" t="s">
        <v>59</v>
      </c>
      <c r="H456" s="9">
        <v>2</v>
      </c>
      <c r="I456" s="5">
        <v>42.31</v>
      </c>
      <c r="J456" s="5">
        <v>84.62</v>
      </c>
      <c r="K456" s="5">
        <v>4.28</v>
      </c>
      <c r="L456" s="5">
        <v>24.34</v>
      </c>
      <c r="M456" s="9" t="s">
        <v>28</v>
      </c>
      <c r="N456" s="9" t="s">
        <v>29</v>
      </c>
      <c r="O456" s="9" t="s">
        <v>66</v>
      </c>
    </row>
    <row r="457" spans="1:15" x14ac:dyDescent="0.3">
      <c r="A457" s="9" t="s">
        <v>904</v>
      </c>
      <c r="B457" s="10">
        <v>59525</v>
      </c>
      <c r="C457" s="9" t="s">
        <v>114</v>
      </c>
      <c r="D457" s="9" t="str">
        <f>PROPER(E457)</f>
        <v>Singapore</v>
      </c>
      <c r="E457" s="9" t="s">
        <v>82</v>
      </c>
      <c r="F457" s="9" t="s">
        <v>64</v>
      </c>
      <c r="G457" s="9" t="s">
        <v>65</v>
      </c>
      <c r="H457" s="9">
        <v>8</v>
      </c>
      <c r="I457" s="5">
        <v>41.36</v>
      </c>
      <c r="J457" s="5">
        <v>330.88</v>
      </c>
      <c r="K457" s="5">
        <v>11.78</v>
      </c>
      <c r="L457" s="5">
        <v>119.1</v>
      </c>
      <c r="M457" s="9" t="s">
        <v>20</v>
      </c>
      <c r="N457" s="9" t="s">
        <v>21</v>
      </c>
      <c r="O457" s="9" t="s">
        <v>66</v>
      </c>
    </row>
    <row r="458" spans="1:15" x14ac:dyDescent="0.3">
      <c r="A458" s="9" t="s">
        <v>905</v>
      </c>
      <c r="B458" s="10">
        <v>59556</v>
      </c>
      <c r="C458" s="9" t="s">
        <v>160</v>
      </c>
      <c r="D458" s="9" t="str">
        <f>PROPER(E458)</f>
        <v>Canada</v>
      </c>
      <c r="E458" s="9" t="s">
        <v>47</v>
      </c>
      <c r="F458" s="9" t="s">
        <v>27</v>
      </c>
      <c r="G458" s="9" t="s">
        <v>19</v>
      </c>
      <c r="H458" s="9">
        <v>3</v>
      </c>
      <c r="I458" s="5">
        <v>31.39</v>
      </c>
      <c r="J458" s="5">
        <v>94.17</v>
      </c>
      <c r="K458" s="5">
        <v>2.52</v>
      </c>
      <c r="L458" s="5">
        <v>37.65</v>
      </c>
      <c r="M458" s="9" t="s">
        <v>42</v>
      </c>
      <c r="N458" s="9" t="s">
        <v>35</v>
      </c>
      <c r="O458" s="9" t="s">
        <v>22</v>
      </c>
    </row>
    <row r="459" spans="1:15" x14ac:dyDescent="0.3">
      <c r="A459" s="9" t="s">
        <v>907</v>
      </c>
      <c r="B459" s="10">
        <v>59587</v>
      </c>
      <c r="C459" s="9" t="s">
        <v>198</v>
      </c>
      <c r="D459" s="9" t="str">
        <f>PROPER(E459)</f>
        <v>France</v>
      </c>
      <c r="E459" s="9" t="s">
        <v>137</v>
      </c>
      <c r="F459" s="9" t="s">
        <v>58</v>
      </c>
      <c r="G459" s="9" t="s">
        <v>59</v>
      </c>
      <c r="H459" s="9">
        <v>48</v>
      </c>
      <c r="I459" s="5">
        <v>33.61</v>
      </c>
      <c r="J459" s="5">
        <v>1613.28</v>
      </c>
      <c r="K459" s="5">
        <v>109.92</v>
      </c>
      <c r="L459" s="5">
        <v>423.36</v>
      </c>
      <c r="M459" s="9" t="s">
        <v>20</v>
      </c>
      <c r="N459" s="9" t="s">
        <v>35</v>
      </c>
      <c r="O459" s="9" t="s">
        <v>30</v>
      </c>
    </row>
    <row r="460" spans="1:15" x14ac:dyDescent="0.3">
      <c r="A460" s="9" t="s">
        <v>909</v>
      </c>
      <c r="B460" s="10">
        <v>59615</v>
      </c>
      <c r="C460" s="9" t="s">
        <v>243</v>
      </c>
      <c r="D460" s="9" t="str">
        <f>PROPER(E460)</f>
        <v>Germany</v>
      </c>
      <c r="E460" s="9" t="s">
        <v>207</v>
      </c>
      <c r="F460" s="9" t="s">
        <v>40</v>
      </c>
      <c r="G460" s="9" t="s">
        <v>41</v>
      </c>
      <c r="H460" s="9">
        <v>9</v>
      </c>
      <c r="I460" s="5">
        <v>50.29</v>
      </c>
      <c r="J460" s="5">
        <v>452.61</v>
      </c>
      <c r="K460" s="5">
        <v>32.93</v>
      </c>
      <c r="L460" s="5">
        <v>131.68</v>
      </c>
      <c r="M460" s="9" t="s">
        <v>28</v>
      </c>
      <c r="N460" s="9" t="s">
        <v>35</v>
      </c>
      <c r="O460" s="9" t="s">
        <v>30</v>
      </c>
    </row>
    <row r="461" spans="1:15" x14ac:dyDescent="0.3">
      <c r="A461" s="9" t="s">
        <v>911</v>
      </c>
      <c r="B461" s="10">
        <v>59646</v>
      </c>
      <c r="C461" s="9" t="s">
        <v>198</v>
      </c>
      <c r="D461" s="9" t="str">
        <f>PROPER(E461)</f>
        <v>Usa</v>
      </c>
      <c r="E461" s="9" t="s">
        <v>17</v>
      </c>
      <c r="F461" s="9" t="s">
        <v>58</v>
      </c>
      <c r="G461" s="9" t="s">
        <v>59</v>
      </c>
      <c r="H461" s="9">
        <v>12</v>
      </c>
      <c r="I461" s="5">
        <v>34.96</v>
      </c>
      <c r="J461" s="5">
        <v>419.52</v>
      </c>
      <c r="K461" s="5">
        <v>15.43</v>
      </c>
      <c r="L461" s="5">
        <v>134.09</v>
      </c>
      <c r="M461" s="9" t="s">
        <v>28</v>
      </c>
      <c r="N461" s="9" t="s">
        <v>35</v>
      </c>
      <c r="O461" s="9" t="s">
        <v>22</v>
      </c>
    </row>
    <row r="462" spans="1:15" x14ac:dyDescent="0.3">
      <c r="A462" s="9" t="s">
        <v>913</v>
      </c>
      <c r="B462" s="10">
        <v>59676</v>
      </c>
      <c r="C462" s="9" t="s">
        <v>553</v>
      </c>
      <c r="D462" s="9" t="str">
        <f>PROPER(E462)</f>
        <v>Australia</v>
      </c>
      <c r="E462" s="9" t="s">
        <v>172</v>
      </c>
      <c r="F462" s="9" t="s">
        <v>18</v>
      </c>
      <c r="G462" s="9" t="s">
        <v>19</v>
      </c>
      <c r="H462" s="9">
        <v>29</v>
      </c>
      <c r="I462" s="5">
        <v>52.72</v>
      </c>
      <c r="J462" s="5">
        <v>1528.88</v>
      </c>
      <c r="K462" s="5">
        <v>96.91</v>
      </c>
      <c r="L462" s="5">
        <v>416.97</v>
      </c>
      <c r="M462" s="9" t="s">
        <v>28</v>
      </c>
      <c r="N462" s="9" t="s">
        <v>35</v>
      </c>
      <c r="O462" s="9" t="s">
        <v>173</v>
      </c>
    </row>
    <row r="463" spans="1:15" x14ac:dyDescent="0.3">
      <c r="A463" s="9" t="s">
        <v>915</v>
      </c>
      <c r="B463" s="10">
        <v>59707</v>
      </c>
      <c r="C463" s="9" t="s">
        <v>488</v>
      </c>
      <c r="D463" s="9" t="str">
        <f>PROPER(E463)</f>
        <v>Canada</v>
      </c>
      <c r="E463" s="9" t="s">
        <v>47</v>
      </c>
      <c r="F463" s="9" t="s">
        <v>69</v>
      </c>
      <c r="G463" s="9" t="s">
        <v>59</v>
      </c>
      <c r="H463" s="9">
        <v>39</v>
      </c>
      <c r="I463" s="5">
        <v>22.18</v>
      </c>
      <c r="J463" s="5">
        <v>865.02</v>
      </c>
      <c r="K463" s="5">
        <v>26.23</v>
      </c>
      <c r="L463" s="5">
        <v>234.29</v>
      </c>
      <c r="M463" s="9" t="s">
        <v>20</v>
      </c>
      <c r="N463" s="9" t="s">
        <v>35</v>
      </c>
      <c r="O463" s="9" t="s">
        <v>22</v>
      </c>
    </row>
    <row r="464" spans="1:15" x14ac:dyDescent="0.3">
      <c r="A464" s="9" t="s">
        <v>916</v>
      </c>
      <c r="B464" s="10">
        <v>59737</v>
      </c>
      <c r="C464" s="9" t="s">
        <v>478</v>
      </c>
      <c r="D464" s="9" t="str">
        <f>PROPER(E464)</f>
        <v>Singapore</v>
      </c>
      <c r="E464" s="9" t="s">
        <v>82</v>
      </c>
      <c r="F464" s="9" t="s">
        <v>69</v>
      </c>
      <c r="G464" s="9" t="s">
        <v>59</v>
      </c>
      <c r="H464" s="9">
        <v>11</v>
      </c>
      <c r="I464" s="5">
        <v>21.4</v>
      </c>
      <c r="J464" s="5">
        <v>235.4</v>
      </c>
      <c r="K464" s="5">
        <v>11.64</v>
      </c>
      <c r="L464" s="5">
        <v>53.26</v>
      </c>
      <c r="M464" s="9" t="s">
        <v>20</v>
      </c>
      <c r="N464" s="9" t="s">
        <v>35</v>
      </c>
      <c r="O464" s="9" t="s">
        <v>66</v>
      </c>
    </row>
    <row r="465" spans="1:15" x14ac:dyDescent="0.3">
      <c r="A465" s="9" t="s">
        <v>917</v>
      </c>
      <c r="B465" s="10">
        <v>59768</v>
      </c>
      <c r="C465" s="9" t="s">
        <v>429</v>
      </c>
      <c r="D465" s="9" t="str">
        <f>PROPER(E465)</f>
        <v>Singapore</v>
      </c>
      <c r="E465" s="9" t="s">
        <v>82</v>
      </c>
      <c r="F465" s="9" t="s">
        <v>64</v>
      </c>
      <c r="G465" s="9" t="s">
        <v>65</v>
      </c>
      <c r="H465" s="9">
        <v>21</v>
      </c>
      <c r="I465" s="5">
        <v>36.26</v>
      </c>
      <c r="J465" s="5">
        <v>761.46</v>
      </c>
      <c r="K465" s="5">
        <v>56.99</v>
      </c>
      <c r="L465" s="5">
        <v>179.47</v>
      </c>
      <c r="M465" s="9" t="s">
        <v>28</v>
      </c>
      <c r="N465" s="9" t="s">
        <v>21</v>
      </c>
      <c r="O465" s="9" t="s">
        <v>66</v>
      </c>
    </row>
    <row r="466" spans="1:15" x14ac:dyDescent="0.3">
      <c r="A466" s="9" t="s">
        <v>919</v>
      </c>
      <c r="B466" s="10">
        <v>59799</v>
      </c>
      <c r="C466" s="9" t="s">
        <v>295</v>
      </c>
      <c r="D466" s="9" t="str">
        <f>PROPER(E466)</f>
        <v>China</v>
      </c>
      <c r="E466" s="9" t="s">
        <v>63</v>
      </c>
      <c r="F466" s="9" t="s">
        <v>58</v>
      </c>
      <c r="G466" s="9" t="s">
        <v>59</v>
      </c>
      <c r="H466" s="9">
        <v>39</v>
      </c>
      <c r="I466" s="5">
        <v>35.409999999999997</v>
      </c>
      <c r="J466" s="5">
        <v>1380.99</v>
      </c>
      <c r="K466" s="5">
        <v>84.56</v>
      </c>
      <c r="L466" s="5">
        <v>418.93</v>
      </c>
      <c r="M466" s="9" t="s">
        <v>28</v>
      </c>
      <c r="N466" s="9" t="s">
        <v>21</v>
      </c>
      <c r="O466" s="9" t="s">
        <v>66</v>
      </c>
    </row>
    <row r="467" spans="1:15" x14ac:dyDescent="0.3">
      <c r="A467" s="9" t="s">
        <v>920</v>
      </c>
      <c r="B467" s="10">
        <v>59829</v>
      </c>
      <c r="C467" s="9" t="s">
        <v>143</v>
      </c>
      <c r="D467" s="9" t="str">
        <f>PROPER(E467)</f>
        <v>China</v>
      </c>
      <c r="E467" s="9" t="s">
        <v>63</v>
      </c>
      <c r="F467" s="9" t="s">
        <v>27</v>
      </c>
      <c r="G467" s="9" t="s">
        <v>19</v>
      </c>
      <c r="H467" s="9">
        <v>13</v>
      </c>
      <c r="I467" s="5">
        <v>27.35</v>
      </c>
      <c r="J467" s="5">
        <v>355.55</v>
      </c>
      <c r="K467" s="5">
        <v>26.23</v>
      </c>
      <c r="L467" s="5">
        <v>95.32</v>
      </c>
      <c r="M467" s="9" t="s">
        <v>28</v>
      </c>
      <c r="N467" s="9" t="s">
        <v>35</v>
      </c>
      <c r="O467" s="9" t="s">
        <v>66</v>
      </c>
    </row>
    <row r="468" spans="1:15" x14ac:dyDescent="0.3">
      <c r="A468" s="9" t="s">
        <v>921</v>
      </c>
      <c r="B468" s="10">
        <v>59860</v>
      </c>
      <c r="C468" s="9" t="s">
        <v>114</v>
      </c>
      <c r="D468" s="9" t="str">
        <f>PROPER(E468)</f>
        <v>Brazil</v>
      </c>
      <c r="E468" s="9" t="s">
        <v>39</v>
      </c>
      <c r="F468" s="9" t="s">
        <v>73</v>
      </c>
      <c r="G468" s="9" t="s">
        <v>41</v>
      </c>
      <c r="H468" s="9">
        <v>40</v>
      </c>
      <c r="I468" s="5">
        <v>21.08</v>
      </c>
      <c r="J468" s="5">
        <v>843.2</v>
      </c>
      <c r="K468" s="5">
        <v>66.81</v>
      </c>
      <c r="L468" s="5">
        <v>266.39</v>
      </c>
      <c r="M468" s="9" t="s">
        <v>42</v>
      </c>
      <c r="N468" s="9" t="s">
        <v>29</v>
      </c>
      <c r="O468" s="9" t="s">
        <v>43</v>
      </c>
    </row>
    <row r="469" spans="1:15" x14ac:dyDescent="0.3">
      <c r="A469" s="9" t="s">
        <v>922</v>
      </c>
      <c r="B469" s="10">
        <v>59890</v>
      </c>
      <c r="C469" s="9" t="s">
        <v>553</v>
      </c>
      <c r="D469" s="9" t="str">
        <f>PROPER(E469)</f>
        <v>Mexico</v>
      </c>
      <c r="E469" s="9" t="s">
        <v>53</v>
      </c>
      <c r="F469" s="9" t="s">
        <v>69</v>
      </c>
      <c r="G469" s="9" t="s">
        <v>59</v>
      </c>
      <c r="H469" s="9">
        <v>47</v>
      </c>
      <c r="I469" s="5">
        <v>27.54</v>
      </c>
      <c r="J469" s="5">
        <v>1294.3800000000001</v>
      </c>
      <c r="K469" s="5">
        <v>62.78</v>
      </c>
      <c r="L469" s="5">
        <v>503.1</v>
      </c>
      <c r="M469" s="9" t="s">
        <v>20</v>
      </c>
      <c r="N469" s="9" t="s">
        <v>21</v>
      </c>
      <c r="O469" s="9" t="s">
        <v>22</v>
      </c>
    </row>
    <row r="470" spans="1:15" x14ac:dyDescent="0.3">
      <c r="A470" s="9" t="s">
        <v>923</v>
      </c>
      <c r="B470" s="10">
        <v>59921</v>
      </c>
      <c r="C470" s="9" t="s">
        <v>38</v>
      </c>
      <c r="D470" s="9" t="str">
        <f>PROPER(E470)</f>
        <v>India</v>
      </c>
      <c r="E470" s="9" t="s">
        <v>249</v>
      </c>
      <c r="F470" s="9" t="s">
        <v>40</v>
      </c>
      <c r="G470" s="9" t="s">
        <v>41</v>
      </c>
      <c r="H470" s="9">
        <v>16</v>
      </c>
      <c r="I470" s="5">
        <v>45.08</v>
      </c>
      <c r="J470" s="5">
        <v>721.28</v>
      </c>
      <c r="K470" s="5">
        <v>21.61</v>
      </c>
      <c r="L470" s="5">
        <v>187.67</v>
      </c>
      <c r="M470" s="9" t="s">
        <v>28</v>
      </c>
      <c r="N470" s="9" t="s">
        <v>35</v>
      </c>
      <c r="O470" s="9" t="s">
        <v>66</v>
      </c>
    </row>
    <row r="471" spans="1:15" x14ac:dyDescent="0.3">
      <c r="A471" s="9" t="s">
        <v>925</v>
      </c>
      <c r="B471" s="10">
        <v>59952</v>
      </c>
      <c r="C471" s="9" t="s">
        <v>163</v>
      </c>
      <c r="D471" s="9" t="str">
        <f>PROPER(E471)</f>
        <v>Uae</v>
      </c>
      <c r="E471" s="9" t="s">
        <v>89</v>
      </c>
      <c r="F471" s="9" t="s">
        <v>58</v>
      </c>
      <c r="G471" s="9" t="s">
        <v>59</v>
      </c>
      <c r="H471" s="9">
        <v>37</v>
      </c>
      <c r="I471" s="5">
        <v>33.200000000000003</v>
      </c>
      <c r="J471" s="5">
        <v>1228.4000000000001</v>
      </c>
      <c r="K471" s="5">
        <v>41.34</v>
      </c>
      <c r="L471" s="5">
        <v>354.56</v>
      </c>
      <c r="M471" s="9" t="s">
        <v>42</v>
      </c>
      <c r="N471" s="9" t="s">
        <v>29</v>
      </c>
      <c r="O471" s="9" t="s">
        <v>66</v>
      </c>
    </row>
    <row r="472" spans="1:15" x14ac:dyDescent="0.3">
      <c r="A472" s="9" t="s">
        <v>926</v>
      </c>
      <c r="B472" s="10">
        <v>59981</v>
      </c>
      <c r="C472" s="9" t="s">
        <v>16</v>
      </c>
      <c r="D472" s="9" t="str">
        <f>PROPER(E472)</f>
        <v>Uae</v>
      </c>
      <c r="E472" s="9" t="s">
        <v>89</v>
      </c>
      <c r="F472" s="9" t="s">
        <v>27</v>
      </c>
      <c r="G472" s="9" t="s">
        <v>19</v>
      </c>
      <c r="H472" s="9">
        <v>8</v>
      </c>
      <c r="I472" s="5">
        <v>27.31</v>
      </c>
      <c r="J472" s="5">
        <v>218.48</v>
      </c>
      <c r="K472" s="5">
        <v>9.51</v>
      </c>
      <c r="L472" s="5">
        <v>64.97</v>
      </c>
      <c r="M472" s="9" t="s">
        <v>42</v>
      </c>
      <c r="N472" s="9" t="s">
        <v>21</v>
      </c>
      <c r="O472" s="9" t="s">
        <v>66</v>
      </c>
    </row>
    <row r="473" spans="1:15" x14ac:dyDescent="0.3">
      <c r="A473" s="9" t="s">
        <v>927</v>
      </c>
      <c r="B473" s="10">
        <v>60012</v>
      </c>
      <c r="C473" s="9" t="s">
        <v>123</v>
      </c>
      <c r="D473" s="9" t="str">
        <f>PROPER(E473)</f>
        <v>South Africa</v>
      </c>
      <c r="E473" s="9" t="s">
        <v>107</v>
      </c>
      <c r="F473" s="9" t="s">
        <v>27</v>
      </c>
      <c r="G473" s="9" t="s">
        <v>19</v>
      </c>
      <c r="H473" s="9">
        <v>19</v>
      </c>
      <c r="I473" s="5">
        <v>29.14</v>
      </c>
      <c r="J473" s="5">
        <v>553.66</v>
      </c>
      <c r="K473" s="5">
        <v>19.7</v>
      </c>
      <c r="L473" s="5">
        <v>191.96</v>
      </c>
      <c r="M473" s="9" t="s">
        <v>20</v>
      </c>
      <c r="N473" s="9" t="s">
        <v>29</v>
      </c>
      <c r="O473" s="9" t="s">
        <v>108</v>
      </c>
    </row>
    <row r="474" spans="1:15" x14ac:dyDescent="0.3">
      <c r="A474" s="9" t="s">
        <v>928</v>
      </c>
      <c r="B474" s="10">
        <v>60042</v>
      </c>
      <c r="C474" s="9" t="s">
        <v>298</v>
      </c>
      <c r="D474" s="9" t="str">
        <f>PROPER(E474)</f>
        <v>Singapore</v>
      </c>
      <c r="E474" s="9" t="s">
        <v>82</v>
      </c>
      <c r="F474" s="9" t="s">
        <v>18</v>
      </c>
      <c r="G474" s="9" t="s">
        <v>19</v>
      </c>
      <c r="H474" s="9">
        <v>6</v>
      </c>
      <c r="I474" s="5">
        <v>55.41</v>
      </c>
      <c r="J474" s="5">
        <v>332.46</v>
      </c>
      <c r="K474" s="5">
        <v>15.57</v>
      </c>
      <c r="L474" s="5">
        <v>106.89</v>
      </c>
      <c r="M474" s="9" t="s">
        <v>20</v>
      </c>
      <c r="N474" s="9" t="s">
        <v>21</v>
      </c>
      <c r="O474" s="9" t="s">
        <v>66</v>
      </c>
    </row>
    <row r="475" spans="1:15" x14ac:dyDescent="0.3">
      <c r="A475" s="9" t="s">
        <v>929</v>
      </c>
      <c r="B475" s="10">
        <v>60073</v>
      </c>
      <c r="C475" s="9" t="s">
        <v>274</v>
      </c>
      <c r="D475" s="9" t="str">
        <f>PROPER(E475)</f>
        <v>Uae</v>
      </c>
      <c r="E475" s="9" t="s">
        <v>89</v>
      </c>
      <c r="F475" s="9" t="s">
        <v>27</v>
      </c>
      <c r="G475" s="9" t="s">
        <v>19</v>
      </c>
      <c r="H475" s="9">
        <v>48</v>
      </c>
      <c r="I475" s="5">
        <v>29.07</v>
      </c>
      <c r="J475" s="5">
        <v>1395.36</v>
      </c>
      <c r="K475" s="5">
        <v>70.38</v>
      </c>
      <c r="L475" s="5">
        <v>460.98</v>
      </c>
      <c r="M475" s="9" t="s">
        <v>28</v>
      </c>
      <c r="N475" s="9" t="s">
        <v>35</v>
      </c>
      <c r="O475" s="9" t="s">
        <v>66</v>
      </c>
    </row>
    <row r="476" spans="1:15" x14ac:dyDescent="0.3">
      <c r="A476" s="9" t="s">
        <v>930</v>
      </c>
      <c r="B476" s="10">
        <v>60103</v>
      </c>
      <c r="C476" s="9" t="s">
        <v>422</v>
      </c>
      <c r="D476" s="9" t="str">
        <f>PROPER(E476)</f>
        <v>Brazil</v>
      </c>
      <c r="E476" s="9" t="s">
        <v>39</v>
      </c>
      <c r="F476" s="9" t="s">
        <v>58</v>
      </c>
      <c r="G476" s="9" t="s">
        <v>59</v>
      </c>
      <c r="H476" s="9">
        <v>26</v>
      </c>
      <c r="I476" s="5">
        <v>27.17</v>
      </c>
      <c r="J476" s="5">
        <v>706.42</v>
      </c>
      <c r="K476" s="5">
        <v>33.94</v>
      </c>
      <c r="L476" s="5">
        <v>87.48</v>
      </c>
      <c r="M476" s="9" t="s">
        <v>42</v>
      </c>
      <c r="N476" s="9" t="s">
        <v>29</v>
      </c>
      <c r="O476" s="9" t="s">
        <v>43</v>
      </c>
    </row>
    <row r="477" spans="1:15" x14ac:dyDescent="0.3">
      <c r="A477" s="9" t="s">
        <v>932</v>
      </c>
      <c r="B477" s="10">
        <v>60134</v>
      </c>
      <c r="C477" s="9" t="s">
        <v>136</v>
      </c>
      <c r="D477" s="9" t="str">
        <f>PROPER(E477)</f>
        <v>Japan</v>
      </c>
      <c r="E477" s="9" t="s">
        <v>93</v>
      </c>
      <c r="F477" s="9" t="s">
        <v>18</v>
      </c>
      <c r="G477" s="9" t="s">
        <v>19</v>
      </c>
      <c r="H477" s="9">
        <v>9</v>
      </c>
      <c r="I477" s="5">
        <v>48.76</v>
      </c>
      <c r="J477" s="5">
        <v>438.84</v>
      </c>
      <c r="K477" s="5">
        <v>16.91</v>
      </c>
      <c r="L477" s="5">
        <v>106.93</v>
      </c>
      <c r="M477" s="9" t="s">
        <v>42</v>
      </c>
      <c r="N477" s="9" t="s">
        <v>21</v>
      </c>
      <c r="O477" s="9" t="s">
        <v>66</v>
      </c>
    </row>
    <row r="478" spans="1:15" x14ac:dyDescent="0.3">
      <c r="A478" s="9" t="s">
        <v>933</v>
      </c>
      <c r="B478" s="10">
        <v>60165</v>
      </c>
      <c r="C478" s="9" t="s">
        <v>327</v>
      </c>
      <c r="D478" s="9" t="str">
        <f>PROPER(E478)</f>
        <v>Uk</v>
      </c>
      <c r="E478" s="9" t="s">
        <v>26</v>
      </c>
      <c r="F478" s="9" t="s">
        <v>58</v>
      </c>
      <c r="G478" s="9" t="s">
        <v>59</v>
      </c>
      <c r="H478" s="9">
        <v>37</v>
      </c>
      <c r="I478" s="5">
        <v>33.21</v>
      </c>
      <c r="J478" s="5">
        <v>1228.77</v>
      </c>
      <c r="K478" s="5">
        <v>96.12</v>
      </c>
      <c r="L478" s="5">
        <v>300.14999999999998</v>
      </c>
      <c r="M478" s="9" t="s">
        <v>42</v>
      </c>
      <c r="N478" s="9" t="s">
        <v>29</v>
      </c>
      <c r="O478" s="9" t="s">
        <v>30</v>
      </c>
    </row>
    <row r="479" spans="1:15" x14ac:dyDescent="0.3">
      <c r="A479" s="9" t="s">
        <v>934</v>
      </c>
      <c r="B479" s="10">
        <v>60195</v>
      </c>
      <c r="C479" s="9" t="s">
        <v>136</v>
      </c>
      <c r="D479" s="9" t="str">
        <f>PROPER(E479)</f>
        <v>Brazil</v>
      </c>
      <c r="E479" s="9" t="s">
        <v>39</v>
      </c>
      <c r="F479" s="9" t="s">
        <v>73</v>
      </c>
      <c r="G479" s="9" t="s">
        <v>41</v>
      </c>
      <c r="H479" s="9">
        <v>29</v>
      </c>
      <c r="I479" s="5">
        <v>16.54</v>
      </c>
      <c r="J479" s="5">
        <v>479.66</v>
      </c>
      <c r="K479" s="5">
        <v>30.23</v>
      </c>
      <c r="L479" s="5">
        <v>79.680000000000007</v>
      </c>
      <c r="M479" s="9" t="s">
        <v>28</v>
      </c>
      <c r="N479" s="9" t="s">
        <v>35</v>
      </c>
      <c r="O479" s="9" t="s">
        <v>43</v>
      </c>
    </row>
    <row r="480" spans="1:15" x14ac:dyDescent="0.3">
      <c r="A480" s="9" t="s">
        <v>935</v>
      </c>
      <c r="B480" s="10">
        <v>60226</v>
      </c>
      <c r="C480" s="9" t="s">
        <v>92</v>
      </c>
      <c r="D480" s="9" t="str">
        <f>PROPER(E480)</f>
        <v>Australia</v>
      </c>
      <c r="E480" s="9" t="s">
        <v>172</v>
      </c>
      <c r="F480" s="9" t="s">
        <v>64</v>
      </c>
      <c r="G480" s="9" t="s">
        <v>65</v>
      </c>
      <c r="H480" s="9">
        <v>11</v>
      </c>
      <c r="I480" s="5">
        <v>44.56</v>
      </c>
      <c r="J480" s="5">
        <v>490.16</v>
      </c>
      <c r="K480" s="5">
        <v>23.97</v>
      </c>
      <c r="L480" s="5">
        <v>191.19</v>
      </c>
      <c r="M480" s="9" t="s">
        <v>28</v>
      </c>
      <c r="N480" s="9" t="s">
        <v>35</v>
      </c>
      <c r="O480" s="9" t="s">
        <v>173</v>
      </c>
    </row>
    <row r="481" spans="1:15" x14ac:dyDescent="0.3">
      <c r="A481" s="9" t="s">
        <v>936</v>
      </c>
      <c r="B481" s="10">
        <v>60256</v>
      </c>
      <c r="C481" s="9" t="s">
        <v>57</v>
      </c>
      <c r="D481" s="9" t="str">
        <f>PROPER(E481)</f>
        <v>Mexico</v>
      </c>
      <c r="E481" s="9" t="s">
        <v>53</v>
      </c>
      <c r="F481" s="9" t="s">
        <v>40</v>
      </c>
      <c r="G481" s="9" t="s">
        <v>41</v>
      </c>
      <c r="H481" s="9">
        <v>50</v>
      </c>
      <c r="I481" s="5">
        <v>44.78</v>
      </c>
      <c r="J481" s="5">
        <v>2239</v>
      </c>
      <c r="K481" s="5">
        <v>169.97</v>
      </c>
      <c r="L481" s="5">
        <v>469.03</v>
      </c>
      <c r="M481" s="9" t="s">
        <v>20</v>
      </c>
      <c r="N481" s="9" t="s">
        <v>35</v>
      </c>
      <c r="O481" s="9" t="s">
        <v>22</v>
      </c>
    </row>
    <row r="482" spans="1:15" x14ac:dyDescent="0.3">
      <c r="A482" s="9" t="s">
        <v>937</v>
      </c>
      <c r="B482" s="10">
        <v>60287</v>
      </c>
      <c r="C482" s="9" t="s">
        <v>88</v>
      </c>
      <c r="D482" s="9" t="str">
        <f>PROPER(E482)</f>
        <v>Usa</v>
      </c>
      <c r="E482" s="9" t="s">
        <v>17</v>
      </c>
      <c r="F482" s="9" t="s">
        <v>27</v>
      </c>
      <c r="G482" s="9" t="s">
        <v>19</v>
      </c>
      <c r="H482" s="9">
        <v>30</v>
      </c>
      <c r="I482" s="5">
        <v>22.51</v>
      </c>
      <c r="J482" s="5">
        <v>675.3</v>
      </c>
      <c r="K482" s="5">
        <v>26.26</v>
      </c>
      <c r="L482" s="5">
        <v>109.04</v>
      </c>
      <c r="M482" s="9" t="s">
        <v>20</v>
      </c>
      <c r="N482" s="9" t="s">
        <v>21</v>
      </c>
      <c r="O482" s="9" t="s">
        <v>22</v>
      </c>
    </row>
    <row r="483" spans="1:15" x14ac:dyDescent="0.3">
      <c r="A483" s="9" t="s">
        <v>939</v>
      </c>
      <c r="B483" s="10">
        <v>60318</v>
      </c>
      <c r="C483" s="9" t="s">
        <v>358</v>
      </c>
      <c r="D483" s="9" t="str">
        <f>PROPER(E483)</f>
        <v>Australia</v>
      </c>
      <c r="E483" s="9" t="s">
        <v>172</v>
      </c>
      <c r="F483" s="9" t="s">
        <v>69</v>
      </c>
      <c r="G483" s="9" t="s">
        <v>59</v>
      </c>
      <c r="H483" s="9">
        <v>50</v>
      </c>
      <c r="I483" s="5">
        <v>27.18</v>
      </c>
      <c r="J483" s="5">
        <v>1359</v>
      </c>
      <c r="K483" s="5">
        <v>45.67</v>
      </c>
      <c r="L483" s="5">
        <v>538.33000000000004</v>
      </c>
      <c r="M483" s="9" t="s">
        <v>20</v>
      </c>
      <c r="N483" s="9" t="s">
        <v>35</v>
      </c>
      <c r="O483" s="9" t="s">
        <v>173</v>
      </c>
    </row>
    <row r="484" spans="1:15" x14ac:dyDescent="0.3">
      <c r="A484" s="9" t="s">
        <v>941</v>
      </c>
      <c r="B484" s="10">
        <v>60346</v>
      </c>
      <c r="C484" s="9" t="s">
        <v>182</v>
      </c>
      <c r="D484" s="9" t="str">
        <f>PROPER(E484)</f>
        <v>Italy</v>
      </c>
      <c r="E484" s="9" t="s">
        <v>34</v>
      </c>
      <c r="F484" s="9" t="s">
        <v>103</v>
      </c>
      <c r="G484" s="9" t="s">
        <v>59</v>
      </c>
      <c r="H484" s="9">
        <v>28</v>
      </c>
      <c r="I484" s="5">
        <v>37.51</v>
      </c>
      <c r="J484" s="5">
        <v>1050.28</v>
      </c>
      <c r="K484" s="5">
        <v>45.83</v>
      </c>
      <c r="L484" s="5">
        <v>220.45</v>
      </c>
      <c r="M484" s="9" t="s">
        <v>42</v>
      </c>
      <c r="N484" s="9" t="s">
        <v>29</v>
      </c>
      <c r="O484" s="9" t="s">
        <v>30</v>
      </c>
    </row>
    <row r="485" spans="1:15" x14ac:dyDescent="0.3">
      <c r="A485" s="9" t="s">
        <v>942</v>
      </c>
      <c r="B485" s="10">
        <v>60377</v>
      </c>
      <c r="C485" s="9" t="s">
        <v>79</v>
      </c>
      <c r="D485" s="9" t="str">
        <f>PROPER(E485)</f>
        <v>Australia</v>
      </c>
      <c r="E485" s="9" t="s">
        <v>172</v>
      </c>
      <c r="F485" s="9" t="s">
        <v>48</v>
      </c>
      <c r="G485" s="9" t="s">
        <v>49</v>
      </c>
      <c r="H485" s="9">
        <v>50</v>
      </c>
      <c r="I485" s="5">
        <v>53.71</v>
      </c>
      <c r="J485" s="5">
        <v>2685.5</v>
      </c>
      <c r="K485" s="5">
        <v>197.89</v>
      </c>
      <c r="L485" s="5">
        <v>487.61</v>
      </c>
      <c r="M485" s="9" t="s">
        <v>28</v>
      </c>
      <c r="N485" s="9" t="s">
        <v>35</v>
      </c>
      <c r="O485" s="9" t="s">
        <v>173</v>
      </c>
    </row>
    <row r="486" spans="1:15" x14ac:dyDescent="0.3">
      <c r="A486" s="9" t="s">
        <v>943</v>
      </c>
      <c r="B486" s="10">
        <v>60407</v>
      </c>
      <c r="C486" s="9" t="s">
        <v>597</v>
      </c>
      <c r="D486" s="9" t="str">
        <f>PROPER(E486)</f>
        <v>South Africa</v>
      </c>
      <c r="E486" s="9" t="s">
        <v>107</v>
      </c>
      <c r="F486" s="9" t="s">
        <v>69</v>
      </c>
      <c r="G486" s="9" t="s">
        <v>59</v>
      </c>
      <c r="H486" s="9">
        <v>24</v>
      </c>
      <c r="I486" s="5">
        <v>18.62</v>
      </c>
      <c r="J486" s="5">
        <v>446.88</v>
      </c>
      <c r="K486" s="5">
        <v>26.91</v>
      </c>
      <c r="L486" s="5">
        <v>47.97</v>
      </c>
      <c r="M486" s="9" t="s">
        <v>28</v>
      </c>
      <c r="N486" s="9" t="s">
        <v>29</v>
      </c>
      <c r="O486" s="9" t="s">
        <v>108</v>
      </c>
    </row>
    <row r="487" spans="1:15" x14ac:dyDescent="0.3">
      <c r="A487" s="9" t="s">
        <v>945</v>
      </c>
      <c r="B487" s="10">
        <v>60438</v>
      </c>
      <c r="C487" s="9" t="s">
        <v>257</v>
      </c>
      <c r="D487" s="9" t="str">
        <f>PROPER(E487)</f>
        <v>Singapore</v>
      </c>
      <c r="E487" s="9" t="s">
        <v>82</v>
      </c>
      <c r="F487" s="9" t="s">
        <v>48</v>
      </c>
      <c r="G487" s="9" t="s">
        <v>49</v>
      </c>
      <c r="H487" s="9">
        <v>10</v>
      </c>
      <c r="I487" s="5">
        <v>49.15</v>
      </c>
      <c r="J487" s="5">
        <v>491.5</v>
      </c>
      <c r="K487" s="5">
        <v>13.3</v>
      </c>
      <c r="L487" s="5">
        <v>78.2</v>
      </c>
      <c r="M487" s="9" t="s">
        <v>42</v>
      </c>
      <c r="N487" s="9" t="s">
        <v>35</v>
      </c>
      <c r="O487" s="9" t="s">
        <v>66</v>
      </c>
    </row>
    <row r="488" spans="1:15" x14ac:dyDescent="0.3">
      <c r="A488" s="9" t="s">
        <v>946</v>
      </c>
      <c r="B488" s="10">
        <v>60468</v>
      </c>
      <c r="C488" s="9" t="s">
        <v>295</v>
      </c>
      <c r="D488" s="9" t="str">
        <f>PROPER(E488)</f>
        <v>China</v>
      </c>
      <c r="E488" s="9" t="s">
        <v>63</v>
      </c>
      <c r="F488" s="9" t="s">
        <v>48</v>
      </c>
      <c r="G488" s="9" t="s">
        <v>49</v>
      </c>
      <c r="H488" s="9">
        <v>42</v>
      </c>
      <c r="I488" s="5">
        <v>50.96</v>
      </c>
      <c r="J488" s="5">
        <v>2140.3200000000002</v>
      </c>
      <c r="K488" s="5">
        <v>127.85</v>
      </c>
      <c r="L488" s="5">
        <v>332.47</v>
      </c>
      <c r="M488" s="9" t="s">
        <v>20</v>
      </c>
      <c r="N488" s="9" t="s">
        <v>29</v>
      </c>
      <c r="O488" s="9" t="s">
        <v>66</v>
      </c>
    </row>
    <row r="489" spans="1:15" x14ac:dyDescent="0.3">
      <c r="A489" s="9" t="s">
        <v>948</v>
      </c>
      <c r="B489" s="10">
        <v>60499</v>
      </c>
      <c r="C489" s="9" t="s">
        <v>290</v>
      </c>
      <c r="D489" s="9" t="str">
        <f>PROPER(E489)</f>
        <v>China</v>
      </c>
      <c r="E489" s="9" t="s">
        <v>63</v>
      </c>
      <c r="F489" s="9" t="s">
        <v>64</v>
      </c>
      <c r="G489" s="9" t="s">
        <v>65</v>
      </c>
      <c r="H489" s="9">
        <v>39</v>
      </c>
      <c r="I489" s="5">
        <v>37.46</v>
      </c>
      <c r="J489" s="5">
        <v>1460.94</v>
      </c>
      <c r="K489" s="5">
        <v>82.25</v>
      </c>
      <c r="L489" s="5">
        <v>403.69</v>
      </c>
      <c r="M489" s="9" t="s">
        <v>42</v>
      </c>
      <c r="N489" s="9" t="s">
        <v>21</v>
      </c>
      <c r="O489" s="9" t="s">
        <v>66</v>
      </c>
    </row>
    <row r="490" spans="1:15" x14ac:dyDescent="0.3">
      <c r="A490" s="9" t="s">
        <v>950</v>
      </c>
      <c r="B490" s="10">
        <v>60530</v>
      </c>
      <c r="C490" s="9" t="s">
        <v>140</v>
      </c>
      <c r="D490" s="9" t="str">
        <f>PROPER(E490)</f>
        <v>France</v>
      </c>
      <c r="E490" s="9" t="s">
        <v>137</v>
      </c>
      <c r="F490" s="9" t="s">
        <v>73</v>
      </c>
      <c r="G490" s="9" t="s">
        <v>41</v>
      </c>
      <c r="H490" s="9">
        <v>7</v>
      </c>
      <c r="I490" s="5">
        <v>20.2</v>
      </c>
      <c r="J490" s="5">
        <v>141.4</v>
      </c>
      <c r="K490" s="5">
        <v>4.3499999999999996</v>
      </c>
      <c r="L490" s="5">
        <v>47.8</v>
      </c>
      <c r="M490" s="9" t="s">
        <v>28</v>
      </c>
      <c r="N490" s="9" t="s">
        <v>35</v>
      </c>
      <c r="O490" s="9" t="s">
        <v>30</v>
      </c>
    </row>
    <row r="491" spans="1:15" x14ac:dyDescent="0.3">
      <c r="A491" s="9" t="s">
        <v>952</v>
      </c>
      <c r="B491" s="10">
        <v>60560</v>
      </c>
      <c r="C491" s="9" t="s">
        <v>163</v>
      </c>
      <c r="D491" s="9" t="str">
        <f>PROPER(E491)</f>
        <v>Canada</v>
      </c>
      <c r="E491" s="9" t="s">
        <v>47</v>
      </c>
      <c r="F491" s="9" t="s">
        <v>73</v>
      </c>
      <c r="G491" s="9" t="s">
        <v>41</v>
      </c>
      <c r="H491" s="9">
        <v>18</v>
      </c>
      <c r="I491" s="5">
        <v>18.63</v>
      </c>
      <c r="J491" s="5">
        <v>335.34</v>
      </c>
      <c r="K491" s="5">
        <v>26.18</v>
      </c>
      <c r="L491" s="5">
        <v>79.66</v>
      </c>
      <c r="M491" s="9" t="s">
        <v>28</v>
      </c>
      <c r="N491" s="9" t="s">
        <v>21</v>
      </c>
      <c r="O491" s="9" t="s">
        <v>22</v>
      </c>
    </row>
    <row r="492" spans="1:15" x14ac:dyDescent="0.3">
      <c r="A492" s="9" t="s">
        <v>954</v>
      </c>
      <c r="B492" s="10">
        <v>60591</v>
      </c>
      <c r="C492" s="9" t="s">
        <v>429</v>
      </c>
      <c r="D492" s="9" t="str">
        <f>PROPER(E492)</f>
        <v>Australia</v>
      </c>
      <c r="E492" s="9" t="s">
        <v>172</v>
      </c>
      <c r="F492" s="9" t="s">
        <v>58</v>
      </c>
      <c r="G492" s="9" t="s">
        <v>59</v>
      </c>
      <c r="H492" s="9">
        <v>12</v>
      </c>
      <c r="I492" s="5">
        <v>27.08</v>
      </c>
      <c r="J492" s="5">
        <v>324.95999999999998</v>
      </c>
      <c r="K492" s="5">
        <v>15.59</v>
      </c>
      <c r="L492" s="5">
        <v>39.369999999999997</v>
      </c>
      <c r="M492" s="9" t="s">
        <v>28</v>
      </c>
      <c r="N492" s="9" t="s">
        <v>35</v>
      </c>
      <c r="O492" s="9" t="s">
        <v>173</v>
      </c>
    </row>
    <row r="493" spans="1:15" x14ac:dyDescent="0.3">
      <c r="A493" s="9" t="s">
        <v>956</v>
      </c>
      <c r="B493" s="10">
        <v>60621</v>
      </c>
      <c r="C493" s="9" t="s">
        <v>466</v>
      </c>
      <c r="D493" s="9" t="str">
        <f>PROPER(E493)</f>
        <v>France</v>
      </c>
      <c r="E493" s="9" t="s">
        <v>137</v>
      </c>
      <c r="F493" s="9" t="s">
        <v>64</v>
      </c>
      <c r="G493" s="9" t="s">
        <v>65</v>
      </c>
      <c r="H493" s="9">
        <v>50</v>
      </c>
      <c r="I493" s="5">
        <v>32.21</v>
      </c>
      <c r="J493" s="5">
        <v>1610.5</v>
      </c>
      <c r="K493" s="5">
        <v>32.68</v>
      </c>
      <c r="L493" s="5">
        <v>327.82</v>
      </c>
      <c r="M493" s="9" t="s">
        <v>28</v>
      </c>
      <c r="N493" s="9" t="s">
        <v>35</v>
      </c>
      <c r="O493" s="9" t="s">
        <v>30</v>
      </c>
    </row>
    <row r="494" spans="1:15" x14ac:dyDescent="0.3">
      <c r="A494" s="9" t="s">
        <v>957</v>
      </c>
      <c r="B494" s="10">
        <v>60652</v>
      </c>
      <c r="C494" s="9" t="s">
        <v>613</v>
      </c>
      <c r="D494" s="9" t="str">
        <f>PROPER(E494)</f>
        <v>South Africa</v>
      </c>
      <c r="E494" s="9" t="s">
        <v>107</v>
      </c>
      <c r="F494" s="9" t="s">
        <v>73</v>
      </c>
      <c r="G494" s="9" t="s">
        <v>41</v>
      </c>
      <c r="H494" s="9">
        <v>49</v>
      </c>
      <c r="I494" s="5">
        <v>20.59</v>
      </c>
      <c r="J494" s="5">
        <v>1008.91</v>
      </c>
      <c r="K494" s="5">
        <v>78.03</v>
      </c>
      <c r="L494" s="5">
        <v>306.13</v>
      </c>
      <c r="M494" s="9" t="s">
        <v>28</v>
      </c>
      <c r="N494" s="9" t="s">
        <v>35</v>
      </c>
      <c r="O494" s="9" t="s">
        <v>108</v>
      </c>
    </row>
    <row r="495" spans="1:15" x14ac:dyDescent="0.3">
      <c r="A495" s="9" t="s">
        <v>958</v>
      </c>
      <c r="B495" s="10">
        <v>60683</v>
      </c>
      <c r="C495" s="9" t="s">
        <v>106</v>
      </c>
      <c r="D495" s="9" t="str">
        <f>PROPER(E495)</f>
        <v>Italy</v>
      </c>
      <c r="E495" s="9" t="s">
        <v>34</v>
      </c>
      <c r="F495" s="9" t="s">
        <v>54</v>
      </c>
      <c r="G495" s="9" t="s">
        <v>41</v>
      </c>
      <c r="H495" s="9">
        <v>22</v>
      </c>
      <c r="I495" s="5">
        <v>28.63</v>
      </c>
      <c r="J495" s="5">
        <v>629.86</v>
      </c>
      <c r="K495" s="5">
        <v>29.08</v>
      </c>
      <c r="L495" s="5">
        <v>160.78</v>
      </c>
      <c r="M495" s="9" t="s">
        <v>28</v>
      </c>
      <c r="N495" s="9" t="s">
        <v>29</v>
      </c>
      <c r="O495" s="9" t="s">
        <v>30</v>
      </c>
    </row>
    <row r="496" spans="1:15" x14ac:dyDescent="0.3">
      <c r="A496" s="9" t="s">
        <v>960</v>
      </c>
      <c r="B496" s="10">
        <v>60711</v>
      </c>
      <c r="C496" s="9" t="s">
        <v>257</v>
      </c>
      <c r="D496" s="9" t="str">
        <f>PROPER(E496)</f>
        <v>China</v>
      </c>
      <c r="E496" s="9" t="s">
        <v>63</v>
      </c>
      <c r="F496" s="9" t="s">
        <v>48</v>
      </c>
      <c r="G496" s="9" t="s">
        <v>49</v>
      </c>
      <c r="H496" s="9">
        <v>11</v>
      </c>
      <c r="I496" s="5">
        <v>56.12</v>
      </c>
      <c r="J496" s="5">
        <v>617.32000000000005</v>
      </c>
      <c r="K496" s="5">
        <v>38.26</v>
      </c>
      <c r="L496" s="5">
        <v>139.06</v>
      </c>
      <c r="M496" s="9" t="s">
        <v>28</v>
      </c>
      <c r="N496" s="9" t="s">
        <v>29</v>
      </c>
      <c r="O496" s="9" t="s">
        <v>66</v>
      </c>
    </row>
    <row r="497" spans="1:15" x14ac:dyDescent="0.3">
      <c r="A497" s="9" t="s">
        <v>962</v>
      </c>
      <c r="B497" s="10">
        <v>60742</v>
      </c>
      <c r="C497" s="9" t="s">
        <v>46</v>
      </c>
      <c r="D497" s="9" t="str">
        <f>PROPER(E497)</f>
        <v>Usa</v>
      </c>
      <c r="E497" s="9" t="s">
        <v>17</v>
      </c>
      <c r="F497" s="9" t="s">
        <v>64</v>
      </c>
      <c r="G497" s="9" t="s">
        <v>65</v>
      </c>
      <c r="H497" s="9">
        <v>2</v>
      </c>
      <c r="I497" s="5">
        <v>30.88</v>
      </c>
      <c r="J497" s="5">
        <v>61.76</v>
      </c>
      <c r="K497" s="5">
        <v>4.42</v>
      </c>
      <c r="L497" s="5">
        <v>7.34</v>
      </c>
      <c r="M497" s="9" t="s">
        <v>42</v>
      </c>
      <c r="N497" s="9" t="s">
        <v>29</v>
      </c>
      <c r="O497" s="9" t="s">
        <v>22</v>
      </c>
    </row>
    <row r="498" spans="1:15" x14ac:dyDescent="0.3">
      <c r="A498" s="9" t="s">
        <v>964</v>
      </c>
      <c r="B498" s="10">
        <v>60772</v>
      </c>
      <c r="C498" s="9" t="s">
        <v>438</v>
      </c>
      <c r="D498" s="9" t="str">
        <f>PROPER(E498)</f>
        <v>Australia</v>
      </c>
      <c r="E498" s="9" t="s">
        <v>172</v>
      </c>
      <c r="F498" s="9" t="s">
        <v>48</v>
      </c>
      <c r="G498" s="9" t="s">
        <v>49</v>
      </c>
      <c r="H498" s="9">
        <v>34</v>
      </c>
      <c r="I498" s="5">
        <v>63.8</v>
      </c>
      <c r="J498" s="5">
        <v>2169.1999999999998</v>
      </c>
      <c r="K498" s="5">
        <v>69.650000000000006</v>
      </c>
      <c r="L498" s="5">
        <v>739.55</v>
      </c>
      <c r="M498" s="9" t="s">
        <v>28</v>
      </c>
      <c r="N498" s="9" t="s">
        <v>35</v>
      </c>
      <c r="O498" s="9" t="s">
        <v>173</v>
      </c>
    </row>
    <row r="499" spans="1:15" x14ac:dyDescent="0.3">
      <c r="A499" s="9" t="s">
        <v>966</v>
      </c>
      <c r="B499" s="10">
        <v>60803</v>
      </c>
      <c r="C499" s="9" t="s">
        <v>248</v>
      </c>
      <c r="D499" s="9" t="str">
        <f>PROPER(E499)</f>
        <v>Mexico</v>
      </c>
      <c r="E499" s="9" t="s">
        <v>53</v>
      </c>
      <c r="F499" s="9" t="s">
        <v>103</v>
      </c>
      <c r="G499" s="9" t="s">
        <v>59</v>
      </c>
      <c r="H499" s="9">
        <v>50</v>
      </c>
      <c r="I499" s="5">
        <v>44.61</v>
      </c>
      <c r="J499" s="5">
        <v>2230.5</v>
      </c>
      <c r="K499" s="5">
        <v>91.32</v>
      </c>
      <c r="L499" s="5">
        <v>739.18</v>
      </c>
      <c r="M499" s="9" t="s">
        <v>42</v>
      </c>
      <c r="N499" s="9" t="s">
        <v>21</v>
      </c>
      <c r="O499" s="9" t="s">
        <v>22</v>
      </c>
    </row>
    <row r="500" spans="1:15" x14ac:dyDescent="0.3">
      <c r="A500" s="9" t="s">
        <v>967</v>
      </c>
      <c r="B500" s="10">
        <v>60833</v>
      </c>
      <c r="C500" s="9" t="s">
        <v>85</v>
      </c>
      <c r="D500" s="9" t="str">
        <f>PROPER(E500)</f>
        <v>Uae</v>
      </c>
      <c r="E500" s="9" t="s">
        <v>89</v>
      </c>
      <c r="F500" s="9" t="s">
        <v>73</v>
      </c>
      <c r="G500" s="9" t="s">
        <v>41</v>
      </c>
      <c r="H500" s="9">
        <v>14</v>
      </c>
      <c r="I500" s="5">
        <v>18.61</v>
      </c>
      <c r="J500" s="5">
        <v>260.54000000000002</v>
      </c>
      <c r="K500" s="5">
        <v>5.39</v>
      </c>
      <c r="L500" s="5">
        <v>76.650000000000006</v>
      </c>
      <c r="M500" s="9" t="s">
        <v>28</v>
      </c>
      <c r="N500" s="9" t="s">
        <v>35</v>
      </c>
      <c r="O500" s="9" t="s">
        <v>66</v>
      </c>
    </row>
    <row r="501" spans="1:15" x14ac:dyDescent="0.3">
      <c r="A501" s="9" t="s">
        <v>969</v>
      </c>
      <c r="B501" s="10">
        <v>60864</v>
      </c>
      <c r="C501" s="9" t="s">
        <v>422</v>
      </c>
      <c r="D501" s="9" t="str">
        <f>PROPER(E501)</f>
        <v>Uk</v>
      </c>
      <c r="E501" s="9" t="s">
        <v>26</v>
      </c>
      <c r="F501" s="9" t="s">
        <v>69</v>
      </c>
      <c r="G501" s="9" t="s">
        <v>59</v>
      </c>
      <c r="H501" s="9">
        <v>7</v>
      </c>
      <c r="I501" s="5">
        <v>24.61</v>
      </c>
      <c r="J501" s="5">
        <v>172.27</v>
      </c>
      <c r="K501" s="5">
        <v>9.64</v>
      </c>
      <c r="L501" s="5">
        <v>54.13</v>
      </c>
      <c r="M501" s="9" t="s">
        <v>42</v>
      </c>
      <c r="N501" s="9" t="s">
        <v>35</v>
      </c>
      <c r="O501" s="9" t="s">
        <v>30</v>
      </c>
    </row>
  </sheetData>
  <conditionalFormatting sqref="L1:L1048576">
    <cfRule type="cellIs" dxfId="2" priority="1" operator="lessThan">
      <formula>0</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D6803-340A-40F5-9368-81E07579EB53}">
  <dimension ref="A1:X505"/>
  <sheetViews>
    <sheetView topLeftCell="F1" workbookViewId="0">
      <selection activeCell="W2" sqref="W2"/>
    </sheetView>
  </sheetViews>
  <sheetFormatPr defaultRowHeight="14.4" x14ac:dyDescent="0.3"/>
  <cols>
    <col min="1" max="1" width="14.77734375" bestFit="1" customWidth="1"/>
    <col min="2" max="2" width="10.6640625" bestFit="1" customWidth="1"/>
    <col min="3" max="3" width="17.21875" bestFit="1" customWidth="1"/>
    <col min="4" max="4" width="10.88671875" bestFit="1" customWidth="1"/>
    <col min="6" max="6" width="11.21875" bestFit="1" customWidth="1"/>
    <col min="7" max="7" width="8.33203125" bestFit="1" customWidth="1"/>
    <col min="8" max="8" width="9.6640625" bestFit="1" customWidth="1"/>
    <col min="9" max="9" width="10.44140625" bestFit="1" customWidth="1"/>
    <col min="10" max="10" width="13.109375" bestFit="1" customWidth="1"/>
    <col min="11" max="11" width="8" bestFit="1" customWidth="1"/>
    <col min="12" max="12" width="10.6640625" bestFit="1" customWidth="1"/>
    <col min="13" max="13" width="12.88671875" bestFit="1" customWidth="1"/>
    <col min="14" max="14" width="12.109375" bestFit="1" customWidth="1"/>
    <col min="15" max="15" width="15.6640625" bestFit="1" customWidth="1"/>
    <col min="16" max="16" width="15.6640625" customWidth="1"/>
    <col min="18" max="18" width="16.109375" bestFit="1" customWidth="1"/>
  </cols>
  <sheetData>
    <row r="1" spans="1:23" x14ac:dyDescent="0.3">
      <c r="A1" s="1" t="s">
        <v>0</v>
      </c>
      <c r="B1" s="1" t="s">
        <v>1</v>
      </c>
      <c r="C1" s="1" t="s">
        <v>2</v>
      </c>
      <c r="D1" s="1" t="s">
        <v>3</v>
      </c>
      <c r="E1" s="1" t="s">
        <v>4</v>
      </c>
      <c r="F1" s="1" t="s">
        <v>5</v>
      </c>
      <c r="G1" s="1" t="s">
        <v>6</v>
      </c>
      <c r="H1" s="1" t="s">
        <v>7</v>
      </c>
      <c r="I1" s="1" t="s">
        <v>8</v>
      </c>
      <c r="J1" s="1" t="s">
        <v>9</v>
      </c>
      <c r="K1" s="1" t="s">
        <v>10</v>
      </c>
      <c r="L1" s="1" t="s">
        <v>11</v>
      </c>
      <c r="M1" s="1" t="s">
        <v>12</v>
      </c>
      <c r="N1" s="12" t="s">
        <v>13</v>
      </c>
      <c r="O1" s="12" t="s">
        <v>999</v>
      </c>
      <c r="P1" s="12"/>
      <c r="Q1" s="11" t="s">
        <v>970</v>
      </c>
      <c r="R1" s="11" t="s">
        <v>4</v>
      </c>
      <c r="S1" s="11" t="s">
        <v>5</v>
      </c>
      <c r="T1" s="11" t="s">
        <v>971</v>
      </c>
      <c r="U1" s="11" t="s">
        <v>972</v>
      </c>
      <c r="V1" s="11" t="s">
        <v>973</v>
      </c>
      <c r="W1" s="13" t="s">
        <v>996</v>
      </c>
    </row>
    <row r="2" spans="1:23" x14ac:dyDescent="0.3">
      <c r="A2" t="s">
        <v>14</v>
      </c>
      <c r="B2" t="s">
        <v>15</v>
      </c>
      <c r="C2" t="s">
        <v>16</v>
      </c>
      <c r="D2" t="s">
        <v>17</v>
      </c>
      <c r="E2" t="s">
        <v>18</v>
      </c>
      <c r="F2" t="s">
        <v>19</v>
      </c>
      <c r="G2">
        <v>20</v>
      </c>
      <c r="H2">
        <v>55.22</v>
      </c>
      <c r="I2">
        <v>1104.4000000000001</v>
      </c>
      <c r="J2">
        <v>49.36</v>
      </c>
      <c r="K2">
        <v>355.04</v>
      </c>
      <c r="L2" t="s">
        <v>20</v>
      </c>
      <c r="M2" t="s">
        <v>21</v>
      </c>
      <c r="N2" t="s">
        <v>22</v>
      </c>
      <c r="O2">
        <f>K2/I2*100</f>
        <v>32.147772546178921</v>
      </c>
      <c r="Q2" t="s">
        <v>974</v>
      </c>
      <c r="R2" t="s">
        <v>40</v>
      </c>
      <c r="S2" t="s">
        <v>41</v>
      </c>
      <c r="T2" t="s">
        <v>975</v>
      </c>
      <c r="U2" t="s">
        <v>63</v>
      </c>
      <c r="V2">
        <v>32</v>
      </c>
      <c r="W2">
        <f>26*32+43*32</f>
        <v>2208</v>
      </c>
    </row>
    <row r="3" spans="1:23" x14ac:dyDescent="0.3">
      <c r="A3" t="s">
        <v>23</v>
      </c>
      <c r="B3" t="s">
        <v>24</v>
      </c>
      <c r="C3" t="s">
        <v>25</v>
      </c>
      <c r="D3" t="s">
        <v>26</v>
      </c>
      <c r="E3" t="s">
        <v>27</v>
      </c>
      <c r="F3" t="s">
        <v>19</v>
      </c>
      <c r="G3">
        <v>33</v>
      </c>
      <c r="H3">
        <v>32.03</v>
      </c>
      <c r="I3">
        <v>1056.99</v>
      </c>
      <c r="J3">
        <v>59.59</v>
      </c>
      <c r="K3">
        <v>403.4</v>
      </c>
      <c r="L3" t="s">
        <v>28</v>
      </c>
      <c r="M3" t="s">
        <v>29</v>
      </c>
      <c r="N3" t="s">
        <v>30</v>
      </c>
      <c r="O3">
        <f t="shared" ref="O3:O66" si="0">K3/I3*100</f>
        <v>38.16497790896792</v>
      </c>
      <c r="Q3" t="s">
        <v>976</v>
      </c>
      <c r="R3" t="s">
        <v>69</v>
      </c>
      <c r="S3" t="s">
        <v>59</v>
      </c>
      <c r="T3" t="s">
        <v>977</v>
      </c>
      <c r="U3" t="s">
        <v>249</v>
      </c>
      <c r="V3">
        <v>15.5</v>
      </c>
      <c r="W3">
        <f>33*15.5</f>
        <v>511.5</v>
      </c>
    </row>
    <row r="4" spans="1:23" x14ac:dyDescent="0.3">
      <c r="A4" t="s">
        <v>31</v>
      </c>
      <c r="B4" t="s">
        <v>32</v>
      </c>
      <c r="C4" t="s">
        <v>33</v>
      </c>
      <c r="D4" t="s">
        <v>34</v>
      </c>
      <c r="E4" t="s">
        <v>27</v>
      </c>
      <c r="F4" t="s">
        <v>19</v>
      </c>
      <c r="G4">
        <v>34</v>
      </c>
      <c r="H4">
        <v>28.48</v>
      </c>
      <c r="I4">
        <v>968.32</v>
      </c>
      <c r="J4">
        <v>73.95</v>
      </c>
      <c r="K4">
        <v>282.37</v>
      </c>
      <c r="L4" t="s">
        <v>20</v>
      </c>
      <c r="M4" t="s">
        <v>35</v>
      </c>
      <c r="N4" t="s">
        <v>30</v>
      </c>
      <c r="O4">
        <f t="shared" si="0"/>
        <v>29.160814606741571</v>
      </c>
      <c r="Q4" t="s">
        <v>978</v>
      </c>
      <c r="R4" t="s">
        <v>27</v>
      </c>
      <c r="S4" t="s">
        <v>19</v>
      </c>
      <c r="T4" t="s">
        <v>979</v>
      </c>
      <c r="U4" t="s">
        <v>34</v>
      </c>
      <c r="V4">
        <v>18</v>
      </c>
      <c r="W4">
        <f>49*18</f>
        <v>882</v>
      </c>
    </row>
    <row r="5" spans="1:23" x14ac:dyDescent="0.3">
      <c r="A5" t="s">
        <v>36</v>
      </c>
      <c r="B5" t="s">
        <v>37</v>
      </c>
      <c r="C5" t="s">
        <v>38</v>
      </c>
      <c r="D5" t="s">
        <v>39</v>
      </c>
      <c r="E5" t="s">
        <v>40</v>
      </c>
      <c r="F5" t="s">
        <v>41</v>
      </c>
      <c r="G5">
        <v>6</v>
      </c>
      <c r="H5">
        <v>56.36</v>
      </c>
      <c r="I5">
        <v>338.16</v>
      </c>
      <c r="J5">
        <v>11.39</v>
      </c>
      <c r="K5">
        <v>134.77000000000001</v>
      </c>
      <c r="L5" t="s">
        <v>42</v>
      </c>
      <c r="M5" t="s">
        <v>29</v>
      </c>
      <c r="N5" t="s">
        <v>43</v>
      </c>
      <c r="O5">
        <f t="shared" si="0"/>
        <v>39.853915306363852</v>
      </c>
      <c r="Q5" t="s">
        <v>980</v>
      </c>
      <c r="R5" t="s">
        <v>73</v>
      </c>
      <c r="S5" t="s">
        <v>41</v>
      </c>
      <c r="T5" t="s">
        <v>981</v>
      </c>
      <c r="U5" t="s">
        <v>982</v>
      </c>
      <c r="V5">
        <v>12.75</v>
      </c>
      <c r="W5">
        <v>0</v>
      </c>
    </row>
    <row r="6" spans="1:23" x14ac:dyDescent="0.3">
      <c r="A6" t="s">
        <v>44</v>
      </c>
      <c r="B6" t="s">
        <v>45</v>
      </c>
      <c r="C6" t="s">
        <v>46</v>
      </c>
      <c r="D6" t="s">
        <v>47</v>
      </c>
      <c r="E6" t="s">
        <v>48</v>
      </c>
      <c r="F6" t="s">
        <v>49</v>
      </c>
      <c r="G6">
        <v>17</v>
      </c>
      <c r="H6">
        <v>69.22</v>
      </c>
      <c r="I6">
        <v>1176.74</v>
      </c>
      <c r="J6">
        <v>65.94</v>
      </c>
      <c r="K6">
        <v>430.8</v>
      </c>
      <c r="L6" t="s">
        <v>28</v>
      </c>
      <c r="M6" t="s">
        <v>21</v>
      </c>
      <c r="N6" t="s">
        <v>22</v>
      </c>
      <c r="O6">
        <f t="shared" si="0"/>
        <v>36.609616397844896</v>
      </c>
      <c r="Q6" t="s">
        <v>983</v>
      </c>
      <c r="R6" t="s">
        <v>64</v>
      </c>
      <c r="S6" t="s">
        <v>65</v>
      </c>
      <c r="T6" t="s">
        <v>984</v>
      </c>
      <c r="U6" t="s">
        <v>985</v>
      </c>
      <c r="V6">
        <v>25</v>
      </c>
      <c r="W6">
        <v>0</v>
      </c>
    </row>
    <row r="7" spans="1:23" x14ac:dyDescent="0.3">
      <c r="A7" t="s">
        <v>50</v>
      </c>
      <c r="B7" t="s">
        <v>51</v>
      </c>
      <c r="C7" t="s">
        <v>52</v>
      </c>
      <c r="D7" t="s">
        <v>53</v>
      </c>
      <c r="E7" t="s">
        <v>54</v>
      </c>
      <c r="F7" t="s">
        <v>41</v>
      </c>
      <c r="G7">
        <v>13</v>
      </c>
      <c r="H7">
        <v>27.94</v>
      </c>
      <c r="I7">
        <v>363.22</v>
      </c>
      <c r="J7">
        <v>15.36</v>
      </c>
      <c r="K7">
        <v>87.86</v>
      </c>
      <c r="L7" t="s">
        <v>28</v>
      </c>
      <c r="M7" t="s">
        <v>21</v>
      </c>
      <c r="N7" t="s">
        <v>22</v>
      </c>
      <c r="O7">
        <f t="shared" si="0"/>
        <v>24.18919663014151</v>
      </c>
      <c r="Q7" t="s">
        <v>986</v>
      </c>
      <c r="R7" t="s">
        <v>54</v>
      </c>
      <c r="S7" t="s">
        <v>41</v>
      </c>
      <c r="T7" t="s">
        <v>987</v>
      </c>
      <c r="U7" t="s">
        <v>63</v>
      </c>
      <c r="V7">
        <v>20</v>
      </c>
      <c r="W7">
        <f>101*20</f>
        <v>2020</v>
      </c>
    </row>
    <row r="8" spans="1:23" x14ac:dyDescent="0.3">
      <c r="A8" t="s">
        <v>55</v>
      </c>
      <c r="B8" t="s">
        <v>56</v>
      </c>
      <c r="C8" t="s">
        <v>57</v>
      </c>
      <c r="D8" t="s">
        <v>26</v>
      </c>
      <c r="E8" t="s">
        <v>58</v>
      </c>
      <c r="F8" t="s">
        <v>59</v>
      </c>
      <c r="G8">
        <v>3</v>
      </c>
      <c r="H8">
        <v>31.52</v>
      </c>
      <c r="I8">
        <v>94.56</v>
      </c>
      <c r="J8">
        <v>6.98</v>
      </c>
      <c r="K8">
        <v>20.079999999999998</v>
      </c>
      <c r="L8" t="s">
        <v>20</v>
      </c>
      <c r="M8" t="s">
        <v>35</v>
      </c>
      <c r="N8" t="s">
        <v>30</v>
      </c>
      <c r="O8">
        <f t="shared" si="0"/>
        <v>21.23519458544839</v>
      </c>
      <c r="Q8" t="s">
        <v>988</v>
      </c>
      <c r="R8" t="s">
        <v>58</v>
      </c>
      <c r="S8" t="s">
        <v>59</v>
      </c>
      <c r="T8" t="s">
        <v>989</v>
      </c>
      <c r="U8" t="s">
        <v>249</v>
      </c>
      <c r="V8">
        <v>22.5</v>
      </c>
      <c r="W8">
        <f>61*V8</f>
        <v>1372.5</v>
      </c>
    </row>
    <row r="9" spans="1:23" x14ac:dyDescent="0.3">
      <c r="A9" t="s">
        <v>60</v>
      </c>
      <c r="B9" t="s">
        <v>61</v>
      </c>
      <c r="C9" t="s">
        <v>62</v>
      </c>
      <c r="D9" t="s">
        <v>63</v>
      </c>
      <c r="E9" t="s">
        <v>64</v>
      </c>
      <c r="F9" t="s">
        <v>65</v>
      </c>
      <c r="G9">
        <v>14</v>
      </c>
      <c r="H9">
        <v>30.71</v>
      </c>
      <c r="I9">
        <v>429.94</v>
      </c>
      <c r="J9">
        <v>13.03</v>
      </c>
      <c r="K9">
        <v>66.91</v>
      </c>
      <c r="L9" t="s">
        <v>28</v>
      </c>
      <c r="M9" t="s">
        <v>21</v>
      </c>
      <c r="N9" t="s">
        <v>66</v>
      </c>
      <c r="O9">
        <f t="shared" si="0"/>
        <v>15.562636646973996</v>
      </c>
      <c r="Q9" t="s">
        <v>990</v>
      </c>
      <c r="R9" t="s">
        <v>18</v>
      </c>
      <c r="S9" t="s">
        <v>19</v>
      </c>
      <c r="T9" t="s">
        <v>991</v>
      </c>
      <c r="U9" t="s">
        <v>982</v>
      </c>
      <c r="V9">
        <v>35</v>
      </c>
      <c r="W9">
        <v>0</v>
      </c>
    </row>
    <row r="10" spans="1:23" x14ac:dyDescent="0.3">
      <c r="A10" t="s">
        <v>67</v>
      </c>
      <c r="B10" t="s">
        <v>68</v>
      </c>
      <c r="C10" t="s">
        <v>33</v>
      </c>
      <c r="D10" t="s">
        <v>17</v>
      </c>
      <c r="E10" t="s">
        <v>69</v>
      </c>
      <c r="F10" t="s">
        <v>59</v>
      </c>
      <c r="G10">
        <v>47</v>
      </c>
      <c r="H10">
        <v>24.47</v>
      </c>
      <c r="I10">
        <v>1150.0899999999999</v>
      </c>
      <c r="J10">
        <v>61.3</v>
      </c>
      <c r="K10">
        <v>360.29</v>
      </c>
      <c r="L10" t="s">
        <v>28</v>
      </c>
      <c r="M10" t="s">
        <v>21</v>
      </c>
      <c r="N10" t="s">
        <v>22</v>
      </c>
      <c r="O10">
        <f t="shared" si="0"/>
        <v>31.327113530245466</v>
      </c>
      <c r="Q10" t="s">
        <v>992</v>
      </c>
      <c r="R10" t="s">
        <v>103</v>
      </c>
      <c r="S10" t="s">
        <v>59</v>
      </c>
      <c r="T10" t="s">
        <v>981</v>
      </c>
      <c r="U10" t="s">
        <v>249</v>
      </c>
      <c r="V10">
        <v>28</v>
      </c>
      <c r="W10">
        <f>58*V10</f>
        <v>1624</v>
      </c>
    </row>
    <row r="11" spans="1:23" x14ac:dyDescent="0.3">
      <c r="A11" t="s">
        <v>70</v>
      </c>
      <c r="B11" t="s">
        <v>71</v>
      </c>
      <c r="C11" t="s">
        <v>72</v>
      </c>
      <c r="D11" t="s">
        <v>34</v>
      </c>
      <c r="E11" t="s">
        <v>73</v>
      </c>
      <c r="F11" t="s">
        <v>41</v>
      </c>
      <c r="G11">
        <v>27</v>
      </c>
      <c r="H11">
        <v>18.98</v>
      </c>
      <c r="I11">
        <v>512.46</v>
      </c>
      <c r="J11">
        <v>28.89</v>
      </c>
      <c r="K11">
        <v>139.32</v>
      </c>
      <c r="L11" t="s">
        <v>28</v>
      </c>
      <c r="M11" t="s">
        <v>35</v>
      </c>
      <c r="N11" t="s">
        <v>30</v>
      </c>
      <c r="O11">
        <f t="shared" si="0"/>
        <v>27.186512118018964</v>
      </c>
      <c r="Q11" t="s">
        <v>993</v>
      </c>
      <c r="R11" t="s">
        <v>48</v>
      </c>
      <c r="S11" t="s">
        <v>49</v>
      </c>
      <c r="T11" t="s">
        <v>994</v>
      </c>
      <c r="U11" t="s">
        <v>995</v>
      </c>
      <c r="V11">
        <v>40</v>
      </c>
      <c r="W11">
        <f>0</f>
        <v>0</v>
      </c>
    </row>
    <row r="12" spans="1:23" x14ac:dyDescent="0.3">
      <c r="A12" t="s">
        <v>74</v>
      </c>
      <c r="B12" t="s">
        <v>75</v>
      </c>
      <c r="C12" t="s">
        <v>76</v>
      </c>
      <c r="D12" t="s">
        <v>63</v>
      </c>
      <c r="E12" t="s">
        <v>18</v>
      </c>
      <c r="F12" t="s">
        <v>19</v>
      </c>
      <c r="G12">
        <v>32</v>
      </c>
      <c r="H12">
        <v>57.84</v>
      </c>
      <c r="I12">
        <v>1850.88</v>
      </c>
      <c r="J12">
        <v>55.15</v>
      </c>
      <c r="K12">
        <v>675.73</v>
      </c>
      <c r="L12" t="s">
        <v>20</v>
      </c>
      <c r="M12" t="s">
        <v>21</v>
      </c>
      <c r="N12" t="s">
        <v>66</v>
      </c>
      <c r="O12">
        <f t="shared" si="0"/>
        <v>36.508579702627934</v>
      </c>
    </row>
    <row r="13" spans="1:23" x14ac:dyDescent="0.3">
      <c r="A13" t="s">
        <v>77</v>
      </c>
      <c r="B13" t="s">
        <v>78</v>
      </c>
      <c r="C13" t="s">
        <v>79</v>
      </c>
      <c r="D13" t="s">
        <v>47</v>
      </c>
      <c r="E13" t="s">
        <v>48</v>
      </c>
      <c r="F13" t="s">
        <v>49</v>
      </c>
      <c r="G13">
        <v>49</v>
      </c>
      <c r="H13">
        <v>58.77</v>
      </c>
      <c r="I13">
        <v>2879.73</v>
      </c>
      <c r="J13">
        <v>140.29</v>
      </c>
      <c r="K13">
        <v>779.44</v>
      </c>
      <c r="L13" t="s">
        <v>42</v>
      </c>
      <c r="M13" t="s">
        <v>35</v>
      </c>
      <c r="N13" t="s">
        <v>22</v>
      </c>
      <c r="O13">
        <f t="shared" si="0"/>
        <v>27.066426366360734</v>
      </c>
    </row>
    <row r="14" spans="1:23" x14ac:dyDescent="0.3">
      <c r="A14" t="s">
        <v>80</v>
      </c>
      <c r="B14" t="s">
        <v>81</v>
      </c>
      <c r="C14" t="s">
        <v>76</v>
      </c>
      <c r="D14" t="s">
        <v>82</v>
      </c>
      <c r="E14" t="s">
        <v>18</v>
      </c>
      <c r="F14" t="s">
        <v>19</v>
      </c>
      <c r="G14">
        <v>43</v>
      </c>
      <c r="H14">
        <v>56.92</v>
      </c>
      <c r="I14">
        <v>2447.56</v>
      </c>
      <c r="J14">
        <v>140.4</v>
      </c>
      <c r="K14">
        <v>802.16</v>
      </c>
      <c r="L14" t="s">
        <v>20</v>
      </c>
      <c r="M14" t="s">
        <v>29</v>
      </c>
      <c r="N14" t="s">
        <v>66</v>
      </c>
      <c r="O14">
        <f t="shared" si="0"/>
        <v>32.773864583503567</v>
      </c>
      <c r="R14" t="s">
        <v>1000</v>
      </c>
    </row>
    <row r="15" spans="1:23" x14ac:dyDescent="0.3">
      <c r="A15" t="s">
        <v>83</v>
      </c>
      <c r="B15" t="s">
        <v>84</v>
      </c>
      <c r="C15" t="s">
        <v>85</v>
      </c>
      <c r="D15" t="s">
        <v>34</v>
      </c>
      <c r="E15" t="s">
        <v>64</v>
      </c>
      <c r="F15" t="s">
        <v>65</v>
      </c>
      <c r="G15">
        <v>32</v>
      </c>
      <c r="H15">
        <v>43.45</v>
      </c>
      <c r="I15">
        <v>1390.4</v>
      </c>
      <c r="J15">
        <v>30.04</v>
      </c>
      <c r="K15">
        <v>560.36</v>
      </c>
      <c r="L15" t="s">
        <v>20</v>
      </c>
      <c r="M15" t="s">
        <v>35</v>
      </c>
      <c r="N15" t="s">
        <v>30</v>
      </c>
      <c r="O15">
        <f t="shared" si="0"/>
        <v>40.302071346375143</v>
      </c>
      <c r="R15" t="s">
        <v>997</v>
      </c>
      <c r="S15">
        <f>MAX(O2:O501)</f>
        <v>42.019875028231574</v>
      </c>
    </row>
    <row r="16" spans="1:23" x14ac:dyDescent="0.3">
      <c r="A16" t="s">
        <v>86</v>
      </c>
      <c r="B16" t="s">
        <v>87</v>
      </c>
      <c r="C16" t="s">
        <v>88</v>
      </c>
      <c r="D16" t="s">
        <v>89</v>
      </c>
      <c r="E16" t="s">
        <v>64</v>
      </c>
      <c r="F16" t="s">
        <v>65</v>
      </c>
      <c r="G16">
        <v>22</v>
      </c>
      <c r="H16">
        <v>42.59</v>
      </c>
      <c r="I16">
        <v>936.98</v>
      </c>
      <c r="J16">
        <v>29.87</v>
      </c>
      <c r="K16">
        <v>357.11</v>
      </c>
      <c r="L16" t="s">
        <v>28</v>
      </c>
      <c r="M16" t="s">
        <v>35</v>
      </c>
      <c r="N16" t="s">
        <v>66</v>
      </c>
      <c r="O16">
        <f t="shared" si="0"/>
        <v>38.112873273709155</v>
      </c>
      <c r="R16" t="s">
        <v>998</v>
      </c>
      <c r="S16">
        <f>MIN(O2:O501)</f>
        <v>9.3578691423519018</v>
      </c>
    </row>
    <row r="17" spans="1:19" x14ac:dyDescent="0.3">
      <c r="A17" t="s">
        <v>90</v>
      </c>
      <c r="B17" t="s">
        <v>91</v>
      </c>
      <c r="C17" t="s">
        <v>92</v>
      </c>
      <c r="D17" t="s">
        <v>93</v>
      </c>
      <c r="E17" t="s">
        <v>54</v>
      </c>
      <c r="F17" t="s">
        <v>41</v>
      </c>
      <c r="G17">
        <v>48</v>
      </c>
      <c r="H17">
        <v>25.36</v>
      </c>
      <c r="I17">
        <v>1217.28</v>
      </c>
      <c r="J17">
        <v>49.68</v>
      </c>
      <c r="K17">
        <v>207.6</v>
      </c>
      <c r="L17" t="s">
        <v>28</v>
      </c>
      <c r="M17" t="s">
        <v>21</v>
      </c>
      <c r="N17" t="s">
        <v>66</v>
      </c>
      <c r="O17">
        <f t="shared" si="0"/>
        <v>17.054416403785488</v>
      </c>
      <c r="R17" t="s">
        <v>1001</v>
      </c>
      <c r="S17">
        <f>AVERAGE(O2:O501)</f>
        <v>27.267437490594386</v>
      </c>
    </row>
    <row r="18" spans="1:19" x14ac:dyDescent="0.3">
      <c r="A18" t="s">
        <v>94</v>
      </c>
      <c r="B18" t="s">
        <v>95</v>
      </c>
      <c r="C18" t="s">
        <v>76</v>
      </c>
      <c r="D18" t="s">
        <v>89</v>
      </c>
      <c r="E18" t="s">
        <v>27</v>
      </c>
      <c r="F18" t="s">
        <v>19</v>
      </c>
      <c r="G18">
        <v>48</v>
      </c>
      <c r="H18">
        <v>30.07</v>
      </c>
      <c r="I18">
        <v>1443.36</v>
      </c>
      <c r="J18">
        <v>102.31</v>
      </c>
      <c r="K18">
        <v>477.05</v>
      </c>
      <c r="L18" t="s">
        <v>42</v>
      </c>
      <c r="M18" t="s">
        <v>21</v>
      </c>
      <c r="N18" t="s">
        <v>66</v>
      </c>
      <c r="O18">
        <f t="shared" si="0"/>
        <v>33.051352399955661</v>
      </c>
    </row>
    <row r="19" spans="1:19" x14ac:dyDescent="0.3">
      <c r="A19" t="s">
        <v>96</v>
      </c>
      <c r="B19" t="s">
        <v>97</v>
      </c>
      <c r="C19" t="s">
        <v>52</v>
      </c>
      <c r="D19" t="s">
        <v>89</v>
      </c>
      <c r="E19" t="s">
        <v>54</v>
      </c>
      <c r="F19" t="s">
        <v>41</v>
      </c>
      <c r="G19">
        <v>6</v>
      </c>
      <c r="H19">
        <v>32.17</v>
      </c>
      <c r="I19">
        <v>193.02</v>
      </c>
      <c r="J19">
        <v>14.45</v>
      </c>
      <c r="K19">
        <v>58.57</v>
      </c>
      <c r="L19" t="s">
        <v>42</v>
      </c>
      <c r="M19" t="s">
        <v>21</v>
      </c>
      <c r="N19" t="s">
        <v>66</v>
      </c>
      <c r="O19">
        <f t="shared" si="0"/>
        <v>30.34400580250751</v>
      </c>
    </row>
    <row r="20" spans="1:19" x14ac:dyDescent="0.3">
      <c r="A20" t="s">
        <v>98</v>
      </c>
      <c r="B20" t="s">
        <v>99</v>
      </c>
      <c r="C20" t="s">
        <v>100</v>
      </c>
      <c r="D20" t="s">
        <v>82</v>
      </c>
      <c r="E20" t="s">
        <v>27</v>
      </c>
      <c r="F20" t="s">
        <v>19</v>
      </c>
      <c r="G20">
        <v>37</v>
      </c>
      <c r="H20">
        <v>24.14</v>
      </c>
      <c r="I20">
        <v>893.18</v>
      </c>
      <c r="J20">
        <v>31.39</v>
      </c>
      <c r="K20">
        <v>195.79</v>
      </c>
      <c r="L20" t="s">
        <v>28</v>
      </c>
      <c r="M20" t="s">
        <v>29</v>
      </c>
      <c r="N20" t="s">
        <v>66</v>
      </c>
      <c r="O20">
        <f t="shared" si="0"/>
        <v>21.920553527844334</v>
      </c>
    </row>
    <row r="21" spans="1:19" x14ac:dyDescent="0.3">
      <c r="A21" t="s">
        <v>101</v>
      </c>
      <c r="B21" t="s">
        <v>102</v>
      </c>
      <c r="C21" t="s">
        <v>46</v>
      </c>
      <c r="D21" t="s">
        <v>26</v>
      </c>
      <c r="E21" t="s">
        <v>103</v>
      </c>
      <c r="F21" t="s">
        <v>59</v>
      </c>
      <c r="G21">
        <v>39</v>
      </c>
      <c r="H21">
        <v>37.840000000000003</v>
      </c>
      <c r="I21">
        <v>1475.76</v>
      </c>
      <c r="J21">
        <v>73.400000000000006</v>
      </c>
      <c r="K21">
        <v>310.36</v>
      </c>
      <c r="L21" t="s">
        <v>28</v>
      </c>
      <c r="M21" t="s">
        <v>35</v>
      </c>
      <c r="N21" t="s">
        <v>30</v>
      </c>
      <c r="O21">
        <f t="shared" si="0"/>
        <v>21.030519867729172</v>
      </c>
    </row>
    <row r="22" spans="1:19" x14ac:dyDescent="0.3">
      <c r="A22" t="s">
        <v>104</v>
      </c>
      <c r="B22" t="s">
        <v>105</v>
      </c>
      <c r="C22" t="s">
        <v>106</v>
      </c>
      <c r="D22" t="s">
        <v>107</v>
      </c>
      <c r="E22" t="s">
        <v>48</v>
      </c>
      <c r="F22" t="s">
        <v>49</v>
      </c>
      <c r="G22">
        <v>6</v>
      </c>
      <c r="H22">
        <v>68.77</v>
      </c>
      <c r="I22">
        <v>412.62</v>
      </c>
      <c r="J22">
        <v>17.18</v>
      </c>
      <c r="K22">
        <v>155.44</v>
      </c>
      <c r="L22" t="s">
        <v>28</v>
      </c>
      <c r="M22" t="s">
        <v>21</v>
      </c>
      <c r="N22" t="s">
        <v>108</v>
      </c>
      <c r="O22">
        <f t="shared" si="0"/>
        <v>37.671465270709128</v>
      </c>
    </row>
    <row r="23" spans="1:19" x14ac:dyDescent="0.3">
      <c r="A23" t="s">
        <v>109</v>
      </c>
      <c r="B23" t="s">
        <v>110</v>
      </c>
      <c r="C23" t="s">
        <v>111</v>
      </c>
      <c r="D23" t="s">
        <v>47</v>
      </c>
      <c r="E23" t="s">
        <v>73</v>
      </c>
      <c r="F23" t="s">
        <v>41</v>
      </c>
      <c r="G23">
        <v>6</v>
      </c>
      <c r="H23">
        <v>18.5</v>
      </c>
      <c r="I23">
        <v>111</v>
      </c>
      <c r="J23">
        <v>5.26</v>
      </c>
      <c r="K23">
        <v>29.24</v>
      </c>
      <c r="L23" t="s">
        <v>42</v>
      </c>
      <c r="M23" t="s">
        <v>29</v>
      </c>
      <c r="N23" t="s">
        <v>22</v>
      </c>
      <c r="O23">
        <f t="shared" si="0"/>
        <v>26.342342342342342</v>
      </c>
    </row>
    <row r="24" spans="1:19" x14ac:dyDescent="0.3">
      <c r="A24" t="s">
        <v>112</v>
      </c>
      <c r="B24" t="s">
        <v>113</v>
      </c>
      <c r="C24" t="s">
        <v>114</v>
      </c>
      <c r="D24" t="s">
        <v>34</v>
      </c>
      <c r="E24" t="s">
        <v>58</v>
      </c>
      <c r="F24" t="s">
        <v>59</v>
      </c>
      <c r="G24">
        <v>33</v>
      </c>
      <c r="H24">
        <v>28.96</v>
      </c>
      <c r="I24">
        <v>955.68</v>
      </c>
      <c r="J24">
        <v>49.07</v>
      </c>
      <c r="K24">
        <v>164.11</v>
      </c>
      <c r="L24" t="s">
        <v>28</v>
      </c>
      <c r="M24" t="s">
        <v>21</v>
      </c>
      <c r="N24" t="s">
        <v>30</v>
      </c>
      <c r="O24">
        <f t="shared" si="0"/>
        <v>17.17206596350243</v>
      </c>
    </row>
    <row r="25" spans="1:19" x14ac:dyDescent="0.3">
      <c r="A25" t="s">
        <v>115</v>
      </c>
      <c r="B25" t="s">
        <v>116</v>
      </c>
      <c r="C25" t="s">
        <v>117</v>
      </c>
      <c r="D25" t="s">
        <v>47</v>
      </c>
      <c r="E25" t="s">
        <v>58</v>
      </c>
      <c r="F25" t="s">
        <v>59</v>
      </c>
      <c r="G25">
        <v>31</v>
      </c>
      <c r="H25">
        <v>35.020000000000003</v>
      </c>
      <c r="I25">
        <v>1085.6199999999999</v>
      </c>
      <c r="J25">
        <v>74.650000000000006</v>
      </c>
      <c r="K25">
        <v>313.47000000000003</v>
      </c>
      <c r="L25" t="s">
        <v>42</v>
      </c>
      <c r="M25" t="s">
        <v>21</v>
      </c>
      <c r="N25" t="s">
        <v>22</v>
      </c>
      <c r="O25">
        <f t="shared" si="0"/>
        <v>28.874744385696658</v>
      </c>
    </row>
    <row r="26" spans="1:19" x14ac:dyDescent="0.3">
      <c r="A26" t="s">
        <v>118</v>
      </c>
      <c r="B26" t="s">
        <v>119</v>
      </c>
      <c r="C26" t="s">
        <v>120</v>
      </c>
      <c r="D26" t="s">
        <v>47</v>
      </c>
      <c r="E26" t="s">
        <v>54</v>
      </c>
      <c r="F26" t="s">
        <v>41</v>
      </c>
      <c r="G26">
        <v>25</v>
      </c>
      <c r="H26">
        <v>31.57</v>
      </c>
      <c r="I26">
        <v>789.25</v>
      </c>
      <c r="J26">
        <v>56.47</v>
      </c>
      <c r="K26">
        <v>232.78</v>
      </c>
      <c r="L26" t="s">
        <v>28</v>
      </c>
      <c r="M26" t="s">
        <v>29</v>
      </c>
      <c r="N26" t="s">
        <v>22</v>
      </c>
      <c r="O26">
        <f t="shared" si="0"/>
        <v>29.493823249920808</v>
      </c>
    </row>
    <row r="27" spans="1:19" x14ac:dyDescent="0.3">
      <c r="A27" t="s">
        <v>121</v>
      </c>
      <c r="B27" t="s">
        <v>122</v>
      </c>
      <c r="C27" t="s">
        <v>123</v>
      </c>
      <c r="D27" t="s">
        <v>34</v>
      </c>
      <c r="E27" t="s">
        <v>69</v>
      </c>
      <c r="F27" t="s">
        <v>59</v>
      </c>
      <c r="G27">
        <v>14</v>
      </c>
      <c r="H27">
        <v>27.08</v>
      </c>
      <c r="I27">
        <v>379.12</v>
      </c>
      <c r="J27">
        <v>11.12</v>
      </c>
      <c r="K27">
        <v>151</v>
      </c>
      <c r="L27" t="s">
        <v>28</v>
      </c>
      <c r="M27" t="s">
        <v>35</v>
      </c>
      <c r="N27" t="s">
        <v>30</v>
      </c>
      <c r="O27">
        <f t="shared" si="0"/>
        <v>39.829077864528379</v>
      </c>
    </row>
    <row r="28" spans="1:19" x14ac:dyDescent="0.3">
      <c r="A28" t="s">
        <v>124</v>
      </c>
      <c r="B28" t="s">
        <v>125</v>
      </c>
      <c r="C28" t="s">
        <v>38</v>
      </c>
      <c r="D28" t="s">
        <v>34</v>
      </c>
      <c r="E28" t="s">
        <v>103</v>
      </c>
      <c r="F28" t="s">
        <v>59</v>
      </c>
      <c r="G28">
        <v>39</v>
      </c>
      <c r="H28">
        <v>35.32</v>
      </c>
      <c r="I28">
        <v>1377.48</v>
      </c>
      <c r="J28">
        <v>63.72</v>
      </c>
      <c r="K28">
        <v>221.76</v>
      </c>
      <c r="L28" t="s">
        <v>28</v>
      </c>
      <c r="M28" t="s">
        <v>29</v>
      </c>
      <c r="N28" t="s">
        <v>30</v>
      </c>
      <c r="O28">
        <f t="shared" si="0"/>
        <v>16.098963324331386</v>
      </c>
    </row>
    <row r="29" spans="1:19" x14ac:dyDescent="0.3">
      <c r="A29" t="s">
        <v>126</v>
      </c>
      <c r="B29" t="s">
        <v>127</v>
      </c>
      <c r="C29" t="s">
        <v>128</v>
      </c>
      <c r="D29" t="s">
        <v>63</v>
      </c>
      <c r="E29" t="s">
        <v>58</v>
      </c>
      <c r="F29" t="s">
        <v>59</v>
      </c>
      <c r="G29">
        <v>6</v>
      </c>
      <c r="H29">
        <v>39.630000000000003</v>
      </c>
      <c r="I29">
        <v>237.78</v>
      </c>
      <c r="J29">
        <v>8.08</v>
      </c>
      <c r="K29">
        <v>94.7</v>
      </c>
      <c r="L29" t="s">
        <v>20</v>
      </c>
      <c r="M29" t="s">
        <v>35</v>
      </c>
      <c r="N29" t="s">
        <v>66</v>
      </c>
      <c r="O29">
        <f t="shared" si="0"/>
        <v>39.826730591302884</v>
      </c>
    </row>
    <row r="30" spans="1:19" x14ac:dyDescent="0.3">
      <c r="A30" t="s">
        <v>129</v>
      </c>
      <c r="B30" t="s">
        <v>130</v>
      </c>
      <c r="C30" t="s">
        <v>131</v>
      </c>
      <c r="D30" t="s">
        <v>107</v>
      </c>
      <c r="E30" t="s">
        <v>48</v>
      </c>
      <c r="F30" t="s">
        <v>49</v>
      </c>
      <c r="G30">
        <v>36</v>
      </c>
      <c r="H30">
        <v>68.400000000000006</v>
      </c>
      <c r="I30">
        <v>2462.4</v>
      </c>
      <c r="J30">
        <v>150.83000000000001</v>
      </c>
      <c r="K30">
        <v>871.57</v>
      </c>
      <c r="L30" t="s">
        <v>28</v>
      </c>
      <c r="M30" t="s">
        <v>21</v>
      </c>
      <c r="N30" t="s">
        <v>108</v>
      </c>
      <c r="O30">
        <f t="shared" si="0"/>
        <v>35.395142949967514</v>
      </c>
    </row>
    <row r="31" spans="1:19" x14ac:dyDescent="0.3">
      <c r="A31" t="s">
        <v>132</v>
      </c>
      <c r="B31" t="s">
        <v>133</v>
      </c>
      <c r="C31" t="s">
        <v>92</v>
      </c>
      <c r="D31" t="s">
        <v>34</v>
      </c>
      <c r="E31" t="s">
        <v>64</v>
      </c>
      <c r="F31" t="s">
        <v>65</v>
      </c>
      <c r="G31">
        <v>1</v>
      </c>
      <c r="H31">
        <v>44.98</v>
      </c>
      <c r="I31">
        <v>44.98</v>
      </c>
      <c r="J31">
        <v>2.81</v>
      </c>
      <c r="K31">
        <v>17.170000000000002</v>
      </c>
      <c r="L31" t="s">
        <v>28</v>
      </c>
      <c r="M31" t="s">
        <v>29</v>
      </c>
      <c r="N31" t="s">
        <v>30</v>
      </c>
      <c r="O31">
        <f t="shared" si="0"/>
        <v>38.172521120498004</v>
      </c>
    </row>
    <row r="32" spans="1:19" x14ac:dyDescent="0.3">
      <c r="A32" t="s">
        <v>134</v>
      </c>
      <c r="B32" t="s">
        <v>135</v>
      </c>
      <c r="C32" t="s">
        <v>136</v>
      </c>
      <c r="D32" t="s">
        <v>137</v>
      </c>
      <c r="E32" t="s">
        <v>103</v>
      </c>
      <c r="F32" t="s">
        <v>59</v>
      </c>
      <c r="G32">
        <v>3</v>
      </c>
      <c r="H32">
        <v>37.74</v>
      </c>
      <c r="I32">
        <v>113.22</v>
      </c>
      <c r="J32">
        <v>4.04</v>
      </c>
      <c r="K32">
        <v>25.18</v>
      </c>
      <c r="L32" t="s">
        <v>28</v>
      </c>
      <c r="M32" t="s">
        <v>29</v>
      </c>
      <c r="N32" t="s">
        <v>30</v>
      </c>
      <c r="O32">
        <f t="shared" si="0"/>
        <v>22.2398869457693</v>
      </c>
    </row>
    <row r="33" spans="1:15" x14ac:dyDescent="0.3">
      <c r="A33" t="s">
        <v>138</v>
      </c>
      <c r="B33" t="s">
        <v>139</v>
      </c>
      <c r="C33" t="s">
        <v>140</v>
      </c>
      <c r="D33" t="s">
        <v>137</v>
      </c>
      <c r="E33" t="s">
        <v>64</v>
      </c>
      <c r="F33" t="s">
        <v>65</v>
      </c>
      <c r="G33">
        <v>12</v>
      </c>
      <c r="H33">
        <v>39.799999999999997</v>
      </c>
      <c r="I33">
        <v>477.6</v>
      </c>
      <c r="J33">
        <v>20.54</v>
      </c>
      <c r="K33">
        <v>157.06</v>
      </c>
      <c r="L33" t="s">
        <v>42</v>
      </c>
      <c r="M33" t="s">
        <v>29</v>
      </c>
      <c r="N33" t="s">
        <v>30</v>
      </c>
      <c r="O33">
        <f t="shared" si="0"/>
        <v>32.88525963149079</v>
      </c>
    </row>
    <row r="34" spans="1:15" x14ac:dyDescent="0.3">
      <c r="A34" t="s">
        <v>141</v>
      </c>
      <c r="B34" t="s">
        <v>142</v>
      </c>
      <c r="C34" t="s">
        <v>143</v>
      </c>
      <c r="D34" t="s">
        <v>63</v>
      </c>
      <c r="E34" t="s">
        <v>40</v>
      </c>
      <c r="F34" t="s">
        <v>41</v>
      </c>
      <c r="G34">
        <v>26</v>
      </c>
      <c r="H34">
        <v>43.23</v>
      </c>
      <c r="I34">
        <v>1123.98</v>
      </c>
      <c r="J34">
        <v>57.2</v>
      </c>
      <c r="K34">
        <v>234.78</v>
      </c>
      <c r="L34" t="s">
        <v>28</v>
      </c>
      <c r="M34" t="s">
        <v>35</v>
      </c>
      <c r="N34" t="s">
        <v>66</v>
      </c>
      <c r="O34">
        <f t="shared" si="0"/>
        <v>20.888272033310201</v>
      </c>
    </row>
    <row r="35" spans="1:15" x14ac:dyDescent="0.3">
      <c r="A35" t="s">
        <v>144</v>
      </c>
      <c r="B35" t="s">
        <v>145</v>
      </c>
      <c r="C35" t="s">
        <v>38</v>
      </c>
      <c r="D35" t="s">
        <v>34</v>
      </c>
      <c r="E35" t="s">
        <v>48</v>
      </c>
      <c r="F35" t="s">
        <v>49</v>
      </c>
      <c r="G35">
        <v>17</v>
      </c>
      <c r="H35">
        <v>66.34</v>
      </c>
      <c r="I35">
        <v>1127.78</v>
      </c>
      <c r="J35">
        <v>81.150000000000006</v>
      </c>
      <c r="K35">
        <v>366.63</v>
      </c>
      <c r="L35" t="s">
        <v>28</v>
      </c>
      <c r="M35" t="s">
        <v>35</v>
      </c>
      <c r="N35" t="s">
        <v>30</v>
      </c>
      <c r="O35">
        <f t="shared" si="0"/>
        <v>32.508999982266047</v>
      </c>
    </row>
    <row r="36" spans="1:15" x14ac:dyDescent="0.3">
      <c r="A36" t="s">
        <v>146</v>
      </c>
      <c r="B36" t="s">
        <v>147</v>
      </c>
      <c r="C36" t="s">
        <v>148</v>
      </c>
      <c r="D36" t="s">
        <v>82</v>
      </c>
      <c r="E36" t="s">
        <v>64</v>
      </c>
      <c r="F36" t="s">
        <v>65</v>
      </c>
      <c r="G36">
        <v>4</v>
      </c>
      <c r="H36">
        <v>33.869999999999997</v>
      </c>
      <c r="I36">
        <v>135.47999999999999</v>
      </c>
      <c r="J36">
        <v>6.59</v>
      </c>
      <c r="K36">
        <v>28.89</v>
      </c>
      <c r="L36" t="s">
        <v>20</v>
      </c>
      <c r="M36" t="s">
        <v>35</v>
      </c>
      <c r="N36" t="s">
        <v>66</v>
      </c>
      <c r="O36">
        <f t="shared" si="0"/>
        <v>21.324180690876883</v>
      </c>
    </row>
    <row r="37" spans="1:15" x14ac:dyDescent="0.3">
      <c r="A37" t="s">
        <v>149</v>
      </c>
      <c r="B37" t="s">
        <v>150</v>
      </c>
      <c r="C37" t="s">
        <v>151</v>
      </c>
      <c r="D37" t="s">
        <v>34</v>
      </c>
      <c r="E37" t="s">
        <v>48</v>
      </c>
      <c r="F37" t="s">
        <v>49</v>
      </c>
      <c r="G37">
        <v>10</v>
      </c>
      <c r="H37">
        <v>64.650000000000006</v>
      </c>
      <c r="I37">
        <v>646.5</v>
      </c>
      <c r="J37">
        <v>17.89</v>
      </c>
      <c r="K37">
        <v>228.61</v>
      </c>
      <c r="L37" t="s">
        <v>42</v>
      </c>
      <c r="M37" t="s">
        <v>21</v>
      </c>
      <c r="N37" t="s">
        <v>30</v>
      </c>
      <c r="O37">
        <f t="shared" si="0"/>
        <v>35.36117556071153</v>
      </c>
    </row>
    <row r="38" spans="1:15" x14ac:dyDescent="0.3">
      <c r="A38" t="s">
        <v>152</v>
      </c>
      <c r="B38" t="s">
        <v>153</v>
      </c>
      <c r="C38" t="s">
        <v>154</v>
      </c>
      <c r="D38" t="s">
        <v>107</v>
      </c>
      <c r="E38" t="s">
        <v>58</v>
      </c>
      <c r="F38" t="s">
        <v>59</v>
      </c>
      <c r="G38">
        <v>12</v>
      </c>
      <c r="H38">
        <v>29.56</v>
      </c>
      <c r="I38">
        <v>354.72</v>
      </c>
      <c r="J38">
        <v>21.4</v>
      </c>
      <c r="K38">
        <v>63.32</v>
      </c>
      <c r="L38" t="s">
        <v>28</v>
      </c>
      <c r="M38" t="s">
        <v>21</v>
      </c>
      <c r="N38" t="s">
        <v>108</v>
      </c>
      <c r="O38">
        <f t="shared" si="0"/>
        <v>17.850699142986016</v>
      </c>
    </row>
    <row r="39" spans="1:15" x14ac:dyDescent="0.3">
      <c r="A39" t="s">
        <v>155</v>
      </c>
      <c r="B39" t="s">
        <v>156</v>
      </c>
      <c r="C39" t="s">
        <v>157</v>
      </c>
      <c r="D39" t="s">
        <v>17</v>
      </c>
      <c r="E39" t="s">
        <v>64</v>
      </c>
      <c r="F39" t="s">
        <v>65</v>
      </c>
      <c r="G39">
        <v>4</v>
      </c>
      <c r="H39">
        <v>35.36</v>
      </c>
      <c r="I39">
        <v>141.44</v>
      </c>
      <c r="J39">
        <v>8.66</v>
      </c>
      <c r="K39">
        <v>32.78</v>
      </c>
      <c r="L39" t="s">
        <v>42</v>
      </c>
      <c r="M39" t="s">
        <v>29</v>
      </c>
      <c r="N39" t="s">
        <v>22</v>
      </c>
      <c r="O39">
        <f t="shared" si="0"/>
        <v>23.175904977375566</v>
      </c>
    </row>
    <row r="40" spans="1:15" x14ac:dyDescent="0.3">
      <c r="A40" t="s">
        <v>158</v>
      </c>
      <c r="B40" t="s">
        <v>159</v>
      </c>
      <c r="C40" t="s">
        <v>160</v>
      </c>
      <c r="D40" t="s">
        <v>34</v>
      </c>
      <c r="E40" t="s">
        <v>54</v>
      </c>
      <c r="F40" t="s">
        <v>41</v>
      </c>
      <c r="G40">
        <v>28</v>
      </c>
      <c r="H40">
        <v>31.42</v>
      </c>
      <c r="I40">
        <v>879.76</v>
      </c>
      <c r="J40">
        <v>69.319999999999993</v>
      </c>
      <c r="K40">
        <v>250.44</v>
      </c>
      <c r="L40" t="s">
        <v>20</v>
      </c>
      <c r="M40" t="s">
        <v>35</v>
      </c>
      <c r="N40" t="s">
        <v>30</v>
      </c>
      <c r="O40">
        <f t="shared" si="0"/>
        <v>28.466854596708192</v>
      </c>
    </row>
    <row r="41" spans="1:15" x14ac:dyDescent="0.3">
      <c r="A41" t="s">
        <v>161</v>
      </c>
      <c r="B41" t="s">
        <v>162</v>
      </c>
      <c r="C41" t="s">
        <v>163</v>
      </c>
      <c r="D41" t="s">
        <v>17</v>
      </c>
      <c r="E41" t="s">
        <v>18</v>
      </c>
      <c r="F41" t="s">
        <v>19</v>
      </c>
      <c r="G41">
        <v>35</v>
      </c>
      <c r="H41">
        <v>55.12</v>
      </c>
      <c r="I41">
        <v>1929.2</v>
      </c>
      <c r="J41">
        <v>58.22</v>
      </c>
      <c r="K41">
        <v>645.98</v>
      </c>
      <c r="L41" t="s">
        <v>20</v>
      </c>
      <c r="M41" t="s">
        <v>21</v>
      </c>
      <c r="N41" t="s">
        <v>22</v>
      </c>
      <c r="O41">
        <f t="shared" si="0"/>
        <v>33.484345842836412</v>
      </c>
    </row>
    <row r="42" spans="1:15" x14ac:dyDescent="0.3">
      <c r="A42" t="s">
        <v>164</v>
      </c>
      <c r="B42" t="s">
        <v>165</v>
      </c>
      <c r="C42" t="s">
        <v>166</v>
      </c>
      <c r="D42" t="s">
        <v>89</v>
      </c>
      <c r="E42" t="s">
        <v>58</v>
      </c>
      <c r="F42" t="s">
        <v>59</v>
      </c>
      <c r="G42">
        <v>41</v>
      </c>
      <c r="H42">
        <v>33.94</v>
      </c>
      <c r="I42">
        <v>1391.54</v>
      </c>
      <c r="J42">
        <v>33.26</v>
      </c>
      <c r="K42">
        <v>435.78</v>
      </c>
      <c r="L42" t="s">
        <v>20</v>
      </c>
      <c r="M42" t="s">
        <v>35</v>
      </c>
      <c r="N42" t="s">
        <v>66</v>
      </c>
      <c r="O42">
        <f t="shared" si="0"/>
        <v>31.316383287580663</v>
      </c>
    </row>
    <row r="43" spans="1:15" x14ac:dyDescent="0.3">
      <c r="A43" t="s">
        <v>167</v>
      </c>
      <c r="B43" t="s">
        <v>71</v>
      </c>
      <c r="C43" t="s">
        <v>85</v>
      </c>
      <c r="D43" t="s">
        <v>82</v>
      </c>
      <c r="E43" t="s">
        <v>58</v>
      </c>
      <c r="F43" t="s">
        <v>59</v>
      </c>
      <c r="G43">
        <v>20</v>
      </c>
      <c r="H43">
        <v>38.43</v>
      </c>
      <c r="I43">
        <v>768.6</v>
      </c>
      <c r="J43">
        <v>60.07</v>
      </c>
      <c r="K43">
        <v>258.52999999999997</v>
      </c>
      <c r="L43" t="s">
        <v>42</v>
      </c>
      <c r="M43" t="s">
        <v>35</v>
      </c>
      <c r="N43" t="s">
        <v>66</v>
      </c>
      <c r="O43">
        <f t="shared" si="0"/>
        <v>33.636481915170435</v>
      </c>
    </row>
    <row r="44" spans="1:15" x14ac:dyDescent="0.3">
      <c r="A44" t="s">
        <v>168</v>
      </c>
      <c r="B44" t="s">
        <v>169</v>
      </c>
      <c r="C44" t="s">
        <v>88</v>
      </c>
      <c r="D44" t="s">
        <v>39</v>
      </c>
      <c r="E44" t="s">
        <v>64</v>
      </c>
      <c r="F44" t="s">
        <v>65</v>
      </c>
      <c r="G44">
        <v>23</v>
      </c>
      <c r="H44">
        <v>35.07</v>
      </c>
      <c r="I44">
        <v>806.61</v>
      </c>
      <c r="J44">
        <v>21.23</v>
      </c>
      <c r="K44">
        <v>210.38</v>
      </c>
      <c r="L44" t="s">
        <v>20</v>
      </c>
      <c r="M44" t="s">
        <v>35</v>
      </c>
      <c r="N44" t="s">
        <v>43</v>
      </c>
      <c r="O44">
        <f t="shared" si="0"/>
        <v>26.081997495691844</v>
      </c>
    </row>
    <row r="45" spans="1:15" x14ac:dyDescent="0.3">
      <c r="A45" t="s">
        <v>170</v>
      </c>
      <c r="B45" t="s">
        <v>171</v>
      </c>
      <c r="C45" t="s">
        <v>79</v>
      </c>
      <c r="D45" t="s">
        <v>172</v>
      </c>
      <c r="E45" t="s">
        <v>48</v>
      </c>
      <c r="F45" t="s">
        <v>49</v>
      </c>
      <c r="G45">
        <v>35</v>
      </c>
      <c r="H45">
        <v>71.44</v>
      </c>
      <c r="I45">
        <v>2500.4</v>
      </c>
      <c r="J45">
        <v>166.81</v>
      </c>
      <c r="K45">
        <v>933.59</v>
      </c>
      <c r="L45" t="s">
        <v>28</v>
      </c>
      <c r="M45" t="s">
        <v>29</v>
      </c>
      <c r="N45" t="s">
        <v>173</v>
      </c>
      <c r="O45">
        <f t="shared" si="0"/>
        <v>37.337625979843224</v>
      </c>
    </row>
    <row r="46" spans="1:15" x14ac:dyDescent="0.3">
      <c r="A46" t="s">
        <v>174</v>
      </c>
      <c r="B46" t="s">
        <v>175</v>
      </c>
      <c r="C46" t="s">
        <v>151</v>
      </c>
      <c r="D46" t="s">
        <v>47</v>
      </c>
      <c r="E46" t="s">
        <v>27</v>
      </c>
      <c r="F46" t="s">
        <v>19</v>
      </c>
      <c r="G46">
        <v>11</v>
      </c>
      <c r="H46">
        <v>26.05</v>
      </c>
      <c r="I46">
        <v>286.55</v>
      </c>
      <c r="J46">
        <v>13.39</v>
      </c>
      <c r="K46">
        <v>75.16</v>
      </c>
      <c r="L46" t="s">
        <v>28</v>
      </c>
      <c r="M46" t="s">
        <v>21</v>
      </c>
      <c r="N46" t="s">
        <v>22</v>
      </c>
      <c r="O46">
        <f t="shared" si="0"/>
        <v>26.229279357878205</v>
      </c>
    </row>
    <row r="47" spans="1:15" x14ac:dyDescent="0.3">
      <c r="A47" t="s">
        <v>176</v>
      </c>
      <c r="B47" t="s">
        <v>177</v>
      </c>
      <c r="C47" t="s">
        <v>46</v>
      </c>
      <c r="D47" t="s">
        <v>26</v>
      </c>
      <c r="E47" t="s">
        <v>69</v>
      </c>
      <c r="F47" t="s">
        <v>59</v>
      </c>
      <c r="G47">
        <v>46</v>
      </c>
      <c r="H47">
        <v>26.67</v>
      </c>
      <c r="I47">
        <v>1226.82</v>
      </c>
      <c r="J47">
        <v>83.55</v>
      </c>
      <c r="K47">
        <v>430.27</v>
      </c>
      <c r="L47" t="s">
        <v>20</v>
      </c>
      <c r="M47" t="s">
        <v>35</v>
      </c>
      <c r="N47" t="s">
        <v>30</v>
      </c>
      <c r="O47">
        <f t="shared" si="0"/>
        <v>35.07197469881482</v>
      </c>
    </row>
    <row r="48" spans="1:15" x14ac:dyDescent="0.3">
      <c r="A48" t="s">
        <v>178</v>
      </c>
      <c r="B48" t="s">
        <v>179</v>
      </c>
      <c r="C48" t="s">
        <v>114</v>
      </c>
      <c r="D48" t="s">
        <v>26</v>
      </c>
      <c r="E48" t="s">
        <v>103</v>
      </c>
      <c r="F48" t="s">
        <v>59</v>
      </c>
      <c r="G48">
        <v>12</v>
      </c>
      <c r="H48">
        <v>42.84</v>
      </c>
      <c r="I48">
        <v>514.08000000000004</v>
      </c>
      <c r="J48">
        <v>22.74</v>
      </c>
      <c r="K48">
        <v>155.34</v>
      </c>
      <c r="L48" t="s">
        <v>42</v>
      </c>
      <c r="M48" t="s">
        <v>21</v>
      </c>
      <c r="N48" t="s">
        <v>30</v>
      </c>
      <c r="O48">
        <f t="shared" si="0"/>
        <v>30.217086834733891</v>
      </c>
    </row>
    <row r="49" spans="1:15" x14ac:dyDescent="0.3">
      <c r="A49" t="s">
        <v>180</v>
      </c>
      <c r="B49" t="s">
        <v>181</v>
      </c>
      <c r="C49" t="s">
        <v>182</v>
      </c>
      <c r="D49" t="s">
        <v>82</v>
      </c>
      <c r="E49" t="s">
        <v>27</v>
      </c>
      <c r="F49" t="s">
        <v>19</v>
      </c>
      <c r="G49">
        <v>18</v>
      </c>
      <c r="H49">
        <v>30.89</v>
      </c>
      <c r="I49">
        <v>556.02</v>
      </c>
      <c r="J49">
        <v>12</v>
      </c>
      <c r="K49">
        <v>220.02</v>
      </c>
      <c r="L49" t="s">
        <v>28</v>
      </c>
      <c r="M49" t="s">
        <v>21</v>
      </c>
      <c r="N49" t="s">
        <v>66</v>
      </c>
      <c r="O49">
        <f t="shared" si="0"/>
        <v>39.570519046077486</v>
      </c>
    </row>
    <row r="50" spans="1:15" x14ac:dyDescent="0.3">
      <c r="A50" t="s">
        <v>183</v>
      </c>
      <c r="B50" t="s">
        <v>184</v>
      </c>
      <c r="C50" t="s">
        <v>185</v>
      </c>
      <c r="D50" t="s">
        <v>47</v>
      </c>
      <c r="E50" t="s">
        <v>18</v>
      </c>
      <c r="F50" t="s">
        <v>19</v>
      </c>
      <c r="G50">
        <v>21</v>
      </c>
      <c r="H50">
        <v>52.41</v>
      </c>
      <c r="I50">
        <v>1100.6099999999999</v>
      </c>
      <c r="J50">
        <v>81.099999999999994</v>
      </c>
      <c r="K50">
        <v>284.51</v>
      </c>
      <c r="L50" t="s">
        <v>42</v>
      </c>
      <c r="M50" t="s">
        <v>29</v>
      </c>
      <c r="N50" t="s">
        <v>22</v>
      </c>
      <c r="O50">
        <f t="shared" si="0"/>
        <v>25.85021033790353</v>
      </c>
    </row>
    <row r="51" spans="1:15" x14ac:dyDescent="0.3">
      <c r="A51" t="s">
        <v>186</v>
      </c>
      <c r="B51" t="s">
        <v>187</v>
      </c>
      <c r="C51" t="s">
        <v>188</v>
      </c>
      <c r="D51" t="s">
        <v>172</v>
      </c>
      <c r="E51" t="s">
        <v>103</v>
      </c>
      <c r="F51" t="s">
        <v>59</v>
      </c>
      <c r="G51">
        <v>17</v>
      </c>
      <c r="H51">
        <v>38.64</v>
      </c>
      <c r="I51">
        <v>656.88</v>
      </c>
      <c r="J51">
        <v>13.86</v>
      </c>
      <c r="K51">
        <v>167.02</v>
      </c>
      <c r="L51" t="s">
        <v>28</v>
      </c>
      <c r="M51" t="s">
        <v>21</v>
      </c>
      <c r="N51" t="s">
        <v>173</v>
      </c>
      <c r="O51">
        <f t="shared" si="0"/>
        <v>25.426257459505543</v>
      </c>
    </row>
    <row r="52" spans="1:15" x14ac:dyDescent="0.3">
      <c r="A52" t="s">
        <v>189</v>
      </c>
      <c r="B52" t="s">
        <v>190</v>
      </c>
      <c r="C52" t="s">
        <v>157</v>
      </c>
      <c r="D52" t="s">
        <v>93</v>
      </c>
      <c r="E52" t="s">
        <v>27</v>
      </c>
      <c r="F52" t="s">
        <v>19</v>
      </c>
      <c r="G52">
        <v>41</v>
      </c>
      <c r="H52">
        <v>25.79</v>
      </c>
      <c r="I52">
        <v>1057.3900000000001</v>
      </c>
      <c r="J52">
        <v>71.22</v>
      </c>
      <c r="K52">
        <v>248.17</v>
      </c>
      <c r="L52" t="s">
        <v>28</v>
      </c>
      <c r="M52" t="s">
        <v>29</v>
      </c>
      <c r="N52" t="s">
        <v>66</v>
      </c>
      <c r="O52">
        <f t="shared" si="0"/>
        <v>23.470053622599039</v>
      </c>
    </row>
    <row r="53" spans="1:15" x14ac:dyDescent="0.3">
      <c r="A53" t="s">
        <v>191</v>
      </c>
      <c r="B53" t="s">
        <v>192</v>
      </c>
      <c r="C53" t="s">
        <v>193</v>
      </c>
      <c r="D53" t="s">
        <v>93</v>
      </c>
      <c r="E53" t="s">
        <v>103</v>
      </c>
      <c r="F53" t="s">
        <v>59</v>
      </c>
      <c r="G53">
        <v>41</v>
      </c>
      <c r="H53">
        <v>41.13</v>
      </c>
      <c r="I53">
        <v>1686.33</v>
      </c>
      <c r="J53">
        <v>80.12</v>
      </c>
      <c r="K53">
        <v>458.21</v>
      </c>
      <c r="L53" t="s">
        <v>28</v>
      </c>
      <c r="M53" t="s">
        <v>35</v>
      </c>
      <c r="N53" t="s">
        <v>66</v>
      </c>
      <c r="O53">
        <f t="shared" si="0"/>
        <v>27.172024455474315</v>
      </c>
    </row>
    <row r="54" spans="1:15" x14ac:dyDescent="0.3">
      <c r="A54" t="s">
        <v>194</v>
      </c>
      <c r="B54" t="s">
        <v>195</v>
      </c>
      <c r="C54" t="s">
        <v>79</v>
      </c>
      <c r="D54" t="s">
        <v>63</v>
      </c>
      <c r="E54" t="s">
        <v>48</v>
      </c>
      <c r="F54" t="s">
        <v>49</v>
      </c>
      <c r="G54">
        <v>33</v>
      </c>
      <c r="H54">
        <v>55.67</v>
      </c>
      <c r="I54">
        <v>1837.11</v>
      </c>
      <c r="J54">
        <v>144.32</v>
      </c>
      <c r="K54">
        <v>372.79</v>
      </c>
      <c r="L54" t="s">
        <v>20</v>
      </c>
      <c r="M54" t="s">
        <v>21</v>
      </c>
      <c r="N54" t="s">
        <v>66</v>
      </c>
      <c r="O54">
        <f t="shared" si="0"/>
        <v>20.29219807197174</v>
      </c>
    </row>
    <row r="55" spans="1:15" x14ac:dyDescent="0.3">
      <c r="A55" t="s">
        <v>196</v>
      </c>
      <c r="B55" t="s">
        <v>197</v>
      </c>
      <c r="C55" t="s">
        <v>198</v>
      </c>
      <c r="D55" t="s">
        <v>93</v>
      </c>
      <c r="E55" t="s">
        <v>48</v>
      </c>
      <c r="F55" t="s">
        <v>49</v>
      </c>
      <c r="G55">
        <v>18</v>
      </c>
      <c r="H55">
        <v>50.87</v>
      </c>
      <c r="I55">
        <v>915.66</v>
      </c>
      <c r="J55">
        <v>49.93</v>
      </c>
      <c r="K55">
        <v>145.72999999999999</v>
      </c>
      <c r="L55" t="s">
        <v>20</v>
      </c>
      <c r="M55" t="s">
        <v>29</v>
      </c>
      <c r="N55" t="s">
        <v>66</v>
      </c>
      <c r="O55">
        <f t="shared" si="0"/>
        <v>15.915296070593888</v>
      </c>
    </row>
    <row r="56" spans="1:15" x14ac:dyDescent="0.3">
      <c r="A56" t="s">
        <v>199</v>
      </c>
      <c r="B56" t="s">
        <v>200</v>
      </c>
      <c r="C56" t="s">
        <v>201</v>
      </c>
      <c r="D56" t="s">
        <v>107</v>
      </c>
      <c r="E56" t="s">
        <v>69</v>
      </c>
      <c r="F56" t="s">
        <v>59</v>
      </c>
      <c r="G56">
        <v>14</v>
      </c>
      <c r="H56">
        <v>26.7</v>
      </c>
      <c r="I56">
        <v>373.8</v>
      </c>
      <c r="J56">
        <v>11.84</v>
      </c>
      <c r="K56">
        <v>144.96</v>
      </c>
      <c r="L56" t="s">
        <v>42</v>
      </c>
      <c r="M56" t="s">
        <v>21</v>
      </c>
      <c r="N56" t="s">
        <v>108</v>
      </c>
      <c r="O56">
        <f t="shared" si="0"/>
        <v>38.780096308186195</v>
      </c>
    </row>
    <row r="57" spans="1:15" x14ac:dyDescent="0.3">
      <c r="A57" t="s">
        <v>202</v>
      </c>
      <c r="B57" t="s">
        <v>203</v>
      </c>
      <c r="C57" t="s">
        <v>204</v>
      </c>
      <c r="D57" t="s">
        <v>17</v>
      </c>
      <c r="E57" t="s">
        <v>27</v>
      </c>
      <c r="F57" t="s">
        <v>19</v>
      </c>
      <c r="G57">
        <v>16</v>
      </c>
      <c r="H57">
        <v>28.96</v>
      </c>
      <c r="I57">
        <v>463.36</v>
      </c>
      <c r="J57">
        <v>35.65</v>
      </c>
      <c r="K57">
        <v>139.71</v>
      </c>
      <c r="L57" t="s">
        <v>20</v>
      </c>
      <c r="M57" t="s">
        <v>35</v>
      </c>
      <c r="N57" t="s">
        <v>22</v>
      </c>
      <c r="O57">
        <f t="shared" si="0"/>
        <v>30.151502071823206</v>
      </c>
    </row>
    <row r="58" spans="1:15" x14ac:dyDescent="0.3">
      <c r="A58" t="s">
        <v>205</v>
      </c>
      <c r="B58" t="s">
        <v>206</v>
      </c>
      <c r="C58" t="s">
        <v>79</v>
      </c>
      <c r="D58" t="s">
        <v>207</v>
      </c>
      <c r="E58" t="s">
        <v>27</v>
      </c>
      <c r="F58" t="s">
        <v>19</v>
      </c>
      <c r="G58">
        <v>47</v>
      </c>
      <c r="H58">
        <v>23.03</v>
      </c>
      <c r="I58">
        <v>1082.4100000000001</v>
      </c>
      <c r="J58">
        <v>50.12</v>
      </c>
      <c r="K58">
        <v>186.29</v>
      </c>
      <c r="L58" t="s">
        <v>42</v>
      </c>
      <c r="M58" t="s">
        <v>21</v>
      </c>
      <c r="N58" t="s">
        <v>30</v>
      </c>
      <c r="O58">
        <f t="shared" si="0"/>
        <v>17.210668785395551</v>
      </c>
    </row>
    <row r="59" spans="1:15" x14ac:dyDescent="0.3">
      <c r="A59" t="s">
        <v>208</v>
      </c>
      <c r="B59" t="s">
        <v>209</v>
      </c>
      <c r="C59" t="s">
        <v>204</v>
      </c>
      <c r="D59" t="s">
        <v>172</v>
      </c>
      <c r="E59" t="s">
        <v>18</v>
      </c>
      <c r="F59" t="s">
        <v>19</v>
      </c>
      <c r="G59">
        <v>18</v>
      </c>
      <c r="H59">
        <v>50.03</v>
      </c>
      <c r="I59">
        <v>900.54</v>
      </c>
      <c r="J59">
        <v>68.44</v>
      </c>
      <c r="K59">
        <v>202.1</v>
      </c>
      <c r="L59" t="s">
        <v>42</v>
      </c>
      <c r="M59" t="s">
        <v>21</v>
      </c>
      <c r="N59" t="s">
        <v>173</v>
      </c>
      <c r="O59">
        <f t="shared" si="0"/>
        <v>22.44209030137473</v>
      </c>
    </row>
    <row r="60" spans="1:15" x14ac:dyDescent="0.3">
      <c r="A60" t="s">
        <v>210</v>
      </c>
      <c r="B60" t="s">
        <v>211</v>
      </c>
      <c r="C60" t="s">
        <v>212</v>
      </c>
      <c r="D60" t="s">
        <v>26</v>
      </c>
      <c r="E60" t="s">
        <v>64</v>
      </c>
      <c r="F60" t="s">
        <v>65</v>
      </c>
      <c r="G60">
        <v>38</v>
      </c>
      <c r="H60">
        <v>32.07</v>
      </c>
      <c r="I60">
        <v>1218.6600000000001</v>
      </c>
      <c r="J60">
        <v>54.49</v>
      </c>
      <c r="K60">
        <v>214.17</v>
      </c>
      <c r="L60" t="s">
        <v>42</v>
      </c>
      <c r="M60" t="s">
        <v>35</v>
      </c>
      <c r="N60" t="s">
        <v>30</v>
      </c>
      <c r="O60">
        <f t="shared" si="0"/>
        <v>17.574220865540838</v>
      </c>
    </row>
    <row r="61" spans="1:15" x14ac:dyDescent="0.3">
      <c r="A61" t="s">
        <v>213</v>
      </c>
      <c r="B61" t="s">
        <v>214</v>
      </c>
      <c r="C61" t="s">
        <v>215</v>
      </c>
      <c r="D61" t="s">
        <v>39</v>
      </c>
      <c r="E61" t="s">
        <v>40</v>
      </c>
      <c r="F61" t="s">
        <v>41</v>
      </c>
      <c r="G61">
        <v>23</v>
      </c>
      <c r="H61">
        <v>50.96</v>
      </c>
      <c r="I61">
        <v>1172.08</v>
      </c>
      <c r="J61">
        <v>61</v>
      </c>
      <c r="K61">
        <v>375.08</v>
      </c>
      <c r="L61" t="s">
        <v>42</v>
      </c>
      <c r="M61" t="s">
        <v>29</v>
      </c>
      <c r="N61" t="s">
        <v>43</v>
      </c>
      <c r="O61">
        <f t="shared" si="0"/>
        <v>32.001228585079517</v>
      </c>
    </row>
    <row r="62" spans="1:15" x14ac:dyDescent="0.3">
      <c r="A62" t="s">
        <v>216</v>
      </c>
      <c r="B62" t="s">
        <v>217</v>
      </c>
      <c r="C62" t="s">
        <v>218</v>
      </c>
      <c r="D62" t="s">
        <v>93</v>
      </c>
      <c r="E62" t="s">
        <v>48</v>
      </c>
      <c r="F62" t="s">
        <v>49</v>
      </c>
      <c r="G62">
        <v>46</v>
      </c>
      <c r="H62">
        <v>70.599999999999994</v>
      </c>
      <c r="I62">
        <v>3247.6</v>
      </c>
      <c r="J62">
        <v>166.91</v>
      </c>
      <c r="K62">
        <v>1240.69</v>
      </c>
      <c r="L62" t="s">
        <v>42</v>
      </c>
      <c r="M62" t="s">
        <v>29</v>
      </c>
      <c r="N62" t="s">
        <v>66</v>
      </c>
      <c r="O62">
        <f t="shared" si="0"/>
        <v>38.203288582337727</v>
      </c>
    </row>
    <row r="63" spans="1:15" x14ac:dyDescent="0.3">
      <c r="A63" t="s">
        <v>219</v>
      </c>
      <c r="B63" t="s">
        <v>220</v>
      </c>
      <c r="C63" t="s">
        <v>114</v>
      </c>
      <c r="D63" t="s">
        <v>93</v>
      </c>
      <c r="E63" t="s">
        <v>48</v>
      </c>
      <c r="F63" t="s">
        <v>49</v>
      </c>
      <c r="G63">
        <v>15</v>
      </c>
      <c r="H63">
        <v>53.36</v>
      </c>
      <c r="I63">
        <v>800.4</v>
      </c>
      <c r="J63">
        <v>56.29</v>
      </c>
      <c r="K63">
        <v>144.11000000000001</v>
      </c>
      <c r="L63" t="s">
        <v>20</v>
      </c>
      <c r="M63" t="s">
        <v>21</v>
      </c>
      <c r="N63" t="s">
        <v>66</v>
      </c>
      <c r="O63">
        <f t="shared" si="0"/>
        <v>18.004747626186909</v>
      </c>
    </row>
    <row r="64" spans="1:15" x14ac:dyDescent="0.3">
      <c r="A64" t="s">
        <v>221</v>
      </c>
      <c r="B64" t="s">
        <v>222</v>
      </c>
      <c r="C64" t="s">
        <v>223</v>
      </c>
      <c r="D64" t="s">
        <v>172</v>
      </c>
      <c r="E64" t="s">
        <v>40</v>
      </c>
      <c r="F64" t="s">
        <v>41</v>
      </c>
      <c r="G64">
        <v>42</v>
      </c>
      <c r="H64">
        <v>39.840000000000003</v>
      </c>
      <c r="I64">
        <v>1673.28</v>
      </c>
      <c r="J64">
        <v>132.74</v>
      </c>
      <c r="K64">
        <v>196.54</v>
      </c>
      <c r="L64" t="s">
        <v>20</v>
      </c>
      <c r="M64" t="s">
        <v>35</v>
      </c>
      <c r="N64" t="s">
        <v>173</v>
      </c>
      <c r="O64">
        <f t="shared" si="0"/>
        <v>11.745792694587875</v>
      </c>
    </row>
    <row r="65" spans="1:15" x14ac:dyDescent="0.3">
      <c r="A65" t="s">
        <v>224</v>
      </c>
      <c r="B65" t="s">
        <v>225</v>
      </c>
      <c r="C65" t="s">
        <v>198</v>
      </c>
      <c r="D65" t="s">
        <v>93</v>
      </c>
      <c r="E65" t="s">
        <v>64</v>
      </c>
      <c r="F65" t="s">
        <v>65</v>
      </c>
      <c r="G65">
        <v>31</v>
      </c>
      <c r="H65">
        <v>38.26</v>
      </c>
      <c r="I65">
        <v>1186.06</v>
      </c>
      <c r="J65">
        <v>69.33</v>
      </c>
      <c r="K65">
        <v>341.73</v>
      </c>
      <c r="L65" t="s">
        <v>28</v>
      </c>
      <c r="M65" t="s">
        <v>21</v>
      </c>
      <c r="N65" t="s">
        <v>66</v>
      </c>
      <c r="O65">
        <f t="shared" si="0"/>
        <v>28.812201743588016</v>
      </c>
    </row>
    <row r="66" spans="1:15" x14ac:dyDescent="0.3">
      <c r="A66" t="s">
        <v>226</v>
      </c>
      <c r="B66" t="s">
        <v>227</v>
      </c>
      <c r="C66" t="s">
        <v>201</v>
      </c>
      <c r="D66" t="s">
        <v>137</v>
      </c>
      <c r="E66" t="s">
        <v>69</v>
      </c>
      <c r="F66" t="s">
        <v>59</v>
      </c>
      <c r="G66">
        <v>2</v>
      </c>
      <c r="H66">
        <v>23.09</v>
      </c>
      <c r="I66">
        <v>46.18</v>
      </c>
      <c r="J66">
        <v>2.52</v>
      </c>
      <c r="K66">
        <v>12.66</v>
      </c>
      <c r="L66" t="s">
        <v>28</v>
      </c>
      <c r="M66" t="s">
        <v>29</v>
      </c>
      <c r="N66" t="s">
        <v>30</v>
      </c>
      <c r="O66">
        <f t="shared" si="0"/>
        <v>27.414465136422695</v>
      </c>
    </row>
    <row r="67" spans="1:15" x14ac:dyDescent="0.3">
      <c r="A67" t="s">
        <v>228</v>
      </c>
      <c r="B67" t="s">
        <v>229</v>
      </c>
      <c r="C67" t="s">
        <v>57</v>
      </c>
      <c r="D67" t="s">
        <v>89</v>
      </c>
      <c r="E67" t="s">
        <v>40</v>
      </c>
      <c r="F67" t="s">
        <v>41</v>
      </c>
      <c r="G67">
        <v>40</v>
      </c>
      <c r="H67">
        <v>46.81</v>
      </c>
      <c r="I67">
        <v>1872.4</v>
      </c>
      <c r="J67">
        <v>43.01</v>
      </c>
      <c r="K67">
        <v>549.39</v>
      </c>
      <c r="L67" t="s">
        <v>20</v>
      </c>
      <c r="M67" t="s">
        <v>35</v>
      </c>
      <c r="N67" t="s">
        <v>66</v>
      </c>
      <c r="O67">
        <f t="shared" ref="O67:O130" si="1">K67/I67*100</f>
        <v>29.341486861781668</v>
      </c>
    </row>
    <row r="68" spans="1:15" x14ac:dyDescent="0.3">
      <c r="A68" t="s">
        <v>230</v>
      </c>
      <c r="B68" t="s">
        <v>231</v>
      </c>
      <c r="C68" t="s">
        <v>232</v>
      </c>
      <c r="D68" t="s">
        <v>63</v>
      </c>
      <c r="E68" t="s">
        <v>40</v>
      </c>
      <c r="F68" t="s">
        <v>41</v>
      </c>
      <c r="G68">
        <v>43</v>
      </c>
      <c r="H68">
        <v>57.01</v>
      </c>
      <c r="I68">
        <v>2451.4299999999998</v>
      </c>
      <c r="J68">
        <v>115.04</v>
      </c>
      <c r="K68">
        <v>960.39</v>
      </c>
      <c r="L68" t="s">
        <v>28</v>
      </c>
      <c r="M68" t="s">
        <v>21</v>
      </c>
      <c r="N68" t="s">
        <v>66</v>
      </c>
      <c r="O68">
        <f t="shared" si="1"/>
        <v>39.176725421488683</v>
      </c>
    </row>
    <row r="69" spans="1:15" x14ac:dyDescent="0.3">
      <c r="A69" t="s">
        <v>233</v>
      </c>
      <c r="B69" t="s">
        <v>234</v>
      </c>
      <c r="C69" t="s">
        <v>235</v>
      </c>
      <c r="D69" t="s">
        <v>53</v>
      </c>
      <c r="E69" t="s">
        <v>73</v>
      </c>
      <c r="F69" t="s">
        <v>41</v>
      </c>
      <c r="G69">
        <v>15</v>
      </c>
      <c r="H69">
        <v>22.23</v>
      </c>
      <c r="I69">
        <v>333.45</v>
      </c>
      <c r="J69">
        <v>16.89</v>
      </c>
      <c r="K69">
        <v>125.31</v>
      </c>
      <c r="L69" t="s">
        <v>42</v>
      </c>
      <c r="M69" t="s">
        <v>29</v>
      </c>
      <c r="N69" t="s">
        <v>22</v>
      </c>
      <c r="O69">
        <f t="shared" si="1"/>
        <v>37.579847053531267</v>
      </c>
    </row>
    <row r="70" spans="1:15" x14ac:dyDescent="0.3">
      <c r="A70" t="s">
        <v>236</v>
      </c>
      <c r="B70" t="s">
        <v>237</v>
      </c>
      <c r="C70" t="s">
        <v>238</v>
      </c>
      <c r="D70" t="s">
        <v>137</v>
      </c>
      <c r="E70" t="s">
        <v>69</v>
      </c>
      <c r="F70" t="s">
        <v>59</v>
      </c>
      <c r="G70">
        <v>15</v>
      </c>
      <c r="H70">
        <v>19.23</v>
      </c>
      <c r="I70">
        <v>288.45</v>
      </c>
      <c r="J70">
        <v>20.22</v>
      </c>
      <c r="K70">
        <v>35.729999999999997</v>
      </c>
      <c r="L70" t="s">
        <v>20</v>
      </c>
      <c r="M70" t="s">
        <v>21</v>
      </c>
      <c r="N70" t="s">
        <v>30</v>
      </c>
      <c r="O70">
        <f t="shared" si="1"/>
        <v>12.386895475819031</v>
      </c>
    </row>
    <row r="71" spans="1:15" x14ac:dyDescent="0.3">
      <c r="A71" t="s">
        <v>239</v>
      </c>
      <c r="B71" t="s">
        <v>240</v>
      </c>
      <c r="C71" t="s">
        <v>117</v>
      </c>
      <c r="D71" t="s">
        <v>34</v>
      </c>
      <c r="E71" t="s">
        <v>103</v>
      </c>
      <c r="F71" t="s">
        <v>59</v>
      </c>
      <c r="G71">
        <v>34</v>
      </c>
      <c r="H71">
        <v>45.54</v>
      </c>
      <c r="I71">
        <v>1548.36</v>
      </c>
      <c r="J71">
        <v>36.76</v>
      </c>
      <c r="K71">
        <v>559.6</v>
      </c>
      <c r="L71" t="s">
        <v>20</v>
      </c>
      <c r="M71" t="s">
        <v>21</v>
      </c>
      <c r="N71" t="s">
        <v>30</v>
      </c>
      <c r="O71">
        <f t="shared" si="1"/>
        <v>36.141465808984996</v>
      </c>
    </row>
    <row r="72" spans="1:15" x14ac:dyDescent="0.3">
      <c r="A72" t="s">
        <v>241</v>
      </c>
      <c r="B72" t="s">
        <v>242</v>
      </c>
      <c r="C72" t="s">
        <v>243</v>
      </c>
      <c r="D72" t="s">
        <v>137</v>
      </c>
      <c r="E72" t="s">
        <v>48</v>
      </c>
      <c r="F72" t="s">
        <v>49</v>
      </c>
      <c r="G72">
        <v>33</v>
      </c>
      <c r="H72">
        <v>63.88</v>
      </c>
      <c r="I72">
        <v>2108.04</v>
      </c>
      <c r="J72">
        <v>111.7</v>
      </c>
      <c r="K72">
        <v>676.34</v>
      </c>
      <c r="L72" t="s">
        <v>20</v>
      </c>
      <c r="M72" t="s">
        <v>35</v>
      </c>
      <c r="N72" t="s">
        <v>30</v>
      </c>
      <c r="O72">
        <f t="shared" si="1"/>
        <v>32.083831426348645</v>
      </c>
    </row>
    <row r="73" spans="1:15" x14ac:dyDescent="0.3">
      <c r="A73" t="s">
        <v>244</v>
      </c>
      <c r="B73" t="s">
        <v>245</v>
      </c>
      <c r="C73" t="s">
        <v>114</v>
      </c>
      <c r="D73" t="s">
        <v>207</v>
      </c>
      <c r="E73" t="s">
        <v>27</v>
      </c>
      <c r="F73" t="s">
        <v>19</v>
      </c>
      <c r="G73">
        <v>39</v>
      </c>
      <c r="H73">
        <v>25.38</v>
      </c>
      <c r="I73">
        <v>989.82</v>
      </c>
      <c r="J73">
        <v>50.82</v>
      </c>
      <c r="K73">
        <v>237</v>
      </c>
      <c r="L73" t="s">
        <v>28</v>
      </c>
      <c r="M73" t="s">
        <v>29</v>
      </c>
      <c r="N73" t="s">
        <v>30</v>
      </c>
      <c r="O73">
        <f t="shared" si="1"/>
        <v>23.943747348002667</v>
      </c>
    </row>
    <row r="74" spans="1:15" x14ac:dyDescent="0.3">
      <c r="A74" t="s">
        <v>246</v>
      </c>
      <c r="B74" t="s">
        <v>247</v>
      </c>
      <c r="C74" t="s">
        <v>248</v>
      </c>
      <c r="D74" t="s">
        <v>249</v>
      </c>
      <c r="E74" t="s">
        <v>64</v>
      </c>
      <c r="F74" t="s">
        <v>65</v>
      </c>
      <c r="G74">
        <v>9</v>
      </c>
      <c r="H74">
        <v>38.979999999999997</v>
      </c>
      <c r="I74">
        <v>350.82</v>
      </c>
      <c r="J74">
        <v>25.56</v>
      </c>
      <c r="K74">
        <v>100.26</v>
      </c>
      <c r="L74" t="s">
        <v>20</v>
      </c>
      <c r="M74" t="s">
        <v>21</v>
      </c>
      <c r="N74" t="s">
        <v>66</v>
      </c>
      <c r="O74">
        <f t="shared" si="1"/>
        <v>28.578758337609035</v>
      </c>
    </row>
    <row r="75" spans="1:15" x14ac:dyDescent="0.3">
      <c r="A75" t="s">
        <v>250</v>
      </c>
      <c r="B75" t="s">
        <v>251</v>
      </c>
      <c r="C75" t="s">
        <v>252</v>
      </c>
      <c r="D75" t="s">
        <v>107</v>
      </c>
      <c r="E75" t="s">
        <v>54</v>
      </c>
      <c r="F75" t="s">
        <v>41</v>
      </c>
      <c r="G75">
        <v>14</v>
      </c>
      <c r="H75">
        <v>35.86</v>
      </c>
      <c r="I75">
        <v>502.04</v>
      </c>
      <c r="J75">
        <v>40.130000000000003</v>
      </c>
      <c r="K75">
        <v>181.91</v>
      </c>
      <c r="L75" t="s">
        <v>42</v>
      </c>
      <c r="M75" t="s">
        <v>35</v>
      </c>
      <c r="N75" t="s">
        <v>108</v>
      </c>
      <c r="O75">
        <f t="shared" si="1"/>
        <v>36.234164608397734</v>
      </c>
    </row>
    <row r="76" spans="1:15" x14ac:dyDescent="0.3">
      <c r="A76" t="s">
        <v>253</v>
      </c>
      <c r="B76" t="s">
        <v>254</v>
      </c>
      <c r="C76" t="s">
        <v>255</v>
      </c>
      <c r="D76" t="s">
        <v>93</v>
      </c>
      <c r="E76" t="s">
        <v>69</v>
      </c>
      <c r="F76" t="s">
        <v>59</v>
      </c>
      <c r="G76">
        <v>49</v>
      </c>
      <c r="H76">
        <v>21.37</v>
      </c>
      <c r="I76">
        <v>1047.1300000000001</v>
      </c>
      <c r="J76">
        <v>65.98</v>
      </c>
      <c r="K76">
        <v>221.65</v>
      </c>
      <c r="L76" t="s">
        <v>42</v>
      </c>
      <c r="M76" t="s">
        <v>35</v>
      </c>
      <c r="N76" t="s">
        <v>66</v>
      </c>
      <c r="O76">
        <f t="shared" si="1"/>
        <v>21.167381318460933</v>
      </c>
    </row>
    <row r="77" spans="1:15" x14ac:dyDescent="0.3">
      <c r="A77" t="s">
        <v>256</v>
      </c>
      <c r="B77" t="s">
        <v>171</v>
      </c>
      <c r="C77" t="s">
        <v>257</v>
      </c>
      <c r="D77" t="s">
        <v>53</v>
      </c>
      <c r="E77" t="s">
        <v>27</v>
      </c>
      <c r="F77" t="s">
        <v>19</v>
      </c>
      <c r="G77">
        <v>42</v>
      </c>
      <c r="H77">
        <v>24.57</v>
      </c>
      <c r="I77">
        <v>1031.94</v>
      </c>
      <c r="J77">
        <v>56.45</v>
      </c>
      <c r="K77">
        <v>219.49</v>
      </c>
      <c r="L77" t="s">
        <v>28</v>
      </c>
      <c r="M77" t="s">
        <v>21</v>
      </c>
      <c r="N77" t="s">
        <v>22</v>
      </c>
      <c r="O77">
        <f t="shared" si="1"/>
        <v>21.26964746012365</v>
      </c>
    </row>
    <row r="78" spans="1:15" x14ac:dyDescent="0.3">
      <c r="A78" t="s">
        <v>258</v>
      </c>
      <c r="B78" t="s">
        <v>259</v>
      </c>
      <c r="C78" t="s">
        <v>257</v>
      </c>
      <c r="D78" t="s">
        <v>82</v>
      </c>
      <c r="E78" t="s">
        <v>27</v>
      </c>
      <c r="F78" t="s">
        <v>19</v>
      </c>
      <c r="G78">
        <v>42</v>
      </c>
      <c r="H78">
        <v>26.39</v>
      </c>
      <c r="I78">
        <v>1108.3800000000001</v>
      </c>
      <c r="J78">
        <v>44.56</v>
      </c>
      <c r="K78">
        <v>307.82</v>
      </c>
      <c r="L78" t="s">
        <v>28</v>
      </c>
      <c r="M78" t="s">
        <v>21</v>
      </c>
      <c r="N78" t="s">
        <v>66</v>
      </c>
      <c r="O78">
        <f t="shared" si="1"/>
        <v>27.772063732654861</v>
      </c>
    </row>
    <row r="79" spans="1:15" x14ac:dyDescent="0.3">
      <c r="A79" t="s">
        <v>260</v>
      </c>
      <c r="B79" t="s">
        <v>261</v>
      </c>
      <c r="C79" t="s">
        <v>255</v>
      </c>
      <c r="D79" t="s">
        <v>47</v>
      </c>
      <c r="E79" t="s">
        <v>54</v>
      </c>
      <c r="F79" t="s">
        <v>41</v>
      </c>
      <c r="G79">
        <v>50</v>
      </c>
      <c r="H79">
        <v>29.73</v>
      </c>
      <c r="I79">
        <v>1486.5</v>
      </c>
      <c r="J79">
        <v>96.77</v>
      </c>
      <c r="K79">
        <v>389.73</v>
      </c>
      <c r="L79" t="s">
        <v>42</v>
      </c>
      <c r="M79" t="s">
        <v>21</v>
      </c>
      <c r="N79" t="s">
        <v>22</v>
      </c>
      <c r="O79">
        <f t="shared" si="1"/>
        <v>26.217961654894044</v>
      </c>
    </row>
    <row r="80" spans="1:15" x14ac:dyDescent="0.3">
      <c r="A80" t="s">
        <v>262</v>
      </c>
      <c r="B80" t="s">
        <v>263</v>
      </c>
      <c r="C80" t="s">
        <v>252</v>
      </c>
      <c r="D80" t="s">
        <v>63</v>
      </c>
      <c r="E80" t="s">
        <v>69</v>
      </c>
      <c r="F80" t="s">
        <v>59</v>
      </c>
      <c r="G80">
        <v>39</v>
      </c>
      <c r="H80">
        <v>20.56</v>
      </c>
      <c r="I80">
        <v>801.84</v>
      </c>
      <c r="J80">
        <v>43.55</v>
      </c>
      <c r="K80">
        <v>153.79</v>
      </c>
      <c r="L80" t="s">
        <v>20</v>
      </c>
      <c r="M80" t="s">
        <v>21</v>
      </c>
      <c r="N80" t="s">
        <v>66</v>
      </c>
      <c r="O80">
        <f t="shared" si="1"/>
        <v>19.179636835278856</v>
      </c>
    </row>
    <row r="81" spans="1:15" x14ac:dyDescent="0.3">
      <c r="A81" t="s">
        <v>264</v>
      </c>
      <c r="B81" t="s">
        <v>265</v>
      </c>
      <c r="C81" t="s">
        <v>25</v>
      </c>
      <c r="D81" t="s">
        <v>63</v>
      </c>
      <c r="E81" t="s">
        <v>69</v>
      </c>
      <c r="F81" t="s">
        <v>59</v>
      </c>
      <c r="G81">
        <v>48</v>
      </c>
      <c r="H81">
        <v>24.36</v>
      </c>
      <c r="I81">
        <v>1169.28</v>
      </c>
      <c r="J81">
        <v>81.599999999999994</v>
      </c>
      <c r="K81">
        <v>343.68</v>
      </c>
      <c r="L81" t="s">
        <v>42</v>
      </c>
      <c r="M81" t="s">
        <v>35</v>
      </c>
      <c r="N81" t="s">
        <v>66</v>
      </c>
      <c r="O81">
        <f t="shared" si="1"/>
        <v>29.392446633825948</v>
      </c>
    </row>
    <row r="82" spans="1:15" x14ac:dyDescent="0.3">
      <c r="A82" t="s">
        <v>266</v>
      </c>
      <c r="B82" t="s">
        <v>267</v>
      </c>
      <c r="C82" t="s">
        <v>268</v>
      </c>
      <c r="D82" t="s">
        <v>207</v>
      </c>
      <c r="E82" t="s">
        <v>58</v>
      </c>
      <c r="F82" t="s">
        <v>59</v>
      </c>
      <c r="G82">
        <v>40</v>
      </c>
      <c r="H82">
        <v>27.95</v>
      </c>
      <c r="I82">
        <v>1118</v>
      </c>
      <c r="J82">
        <v>37.590000000000003</v>
      </c>
      <c r="K82">
        <v>180.41</v>
      </c>
      <c r="L82" t="s">
        <v>42</v>
      </c>
      <c r="M82" t="s">
        <v>35</v>
      </c>
      <c r="N82" t="s">
        <v>30</v>
      </c>
      <c r="O82">
        <f t="shared" si="1"/>
        <v>16.136851520572453</v>
      </c>
    </row>
    <row r="83" spans="1:15" x14ac:dyDescent="0.3">
      <c r="A83" t="s">
        <v>269</v>
      </c>
      <c r="B83" t="s">
        <v>270</v>
      </c>
      <c r="C83" t="s">
        <v>157</v>
      </c>
      <c r="D83" t="s">
        <v>249</v>
      </c>
      <c r="E83" t="s">
        <v>103</v>
      </c>
      <c r="F83" t="s">
        <v>59</v>
      </c>
      <c r="G83">
        <v>21</v>
      </c>
      <c r="H83">
        <v>40.19</v>
      </c>
      <c r="I83">
        <v>843.99</v>
      </c>
      <c r="J83">
        <v>32.4</v>
      </c>
      <c r="K83">
        <v>223.59</v>
      </c>
      <c r="L83" t="s">
        <v>28</v>
      </c>
      <c r="M83" t="s">
        <v>29</v>
      </c>
      <c r="N83" t="s">
        <v>66</v>
      </c>
      <c r="O83">
        <f t="shared" si="1"/>
        <v>26.492020047630898</v>
      </c>
    </row>
    <row r="84" spans="1:15" x14ac:dyDescent="0.3">
      <c r="A84" t="s">
        <v>271</v>
      </c>
      <c r="B84" t="s">
        <v>125</v>
      </c>
      <c r="C84" t="s">
        <v>111</v>
      </c>
      <c r="D84" t="s">
        <v>82</v>
      </c>
      <c r="E84" t="s">
        <v>73</v>
      </c>
      <c r="F84" t="s">
        <v>41</v>
      </c>
      <c r="G84">
        <v>26</v>
      </c>
      <c r="H84">
        <v>16.670000000000002</v>
      </c>
      <c r="I84">
        <v>433.42</v>
      </c>
      <c r="J84">
        <v>32.79</v>
      </c>
      <c r="K84">
        <v>69.13</v>
      </c>
      <c r="L84" t="s">
        <v>42</v>
      </c>
      <c r="M84" t="s">
        <v>29</v>
      </c>
      <c r="N84" t="s">
        <v>66</v>
      </c>
      <c r="O84">
        <f t="shared" si="1"/>
        <v>15.949886945687783</v>
      </c>
    </row>
    <row r="85" spans="1:15" x14ac:dyDescent="0.3">
      <c r="A85" t="s">
        <v>272</v>
      </c>
      <c r="B85" t="s">
        <v>273</v>
      </c>
      <c r="C85" t="s">
        <v>274</v>
      </c>
      <c r="D85" t="s">
        <v>39</v>
      </c>
      <c r="E85" t="s">
        <v>40</v>
      </c>
      <c r="F85" t="s">
        <v>41</v>
      </c>
      <c r="G85">
        <v>28</v>
      </c>
      <c r="H85">
        <v>39.85</v>
      </c>
      <c r="I85">
        <v>1115.8</v>
      </c>
      <c r="J85">
        <v>43.87</v>
      </c>
      <c r="K85">
        <v>175.93</v>
      </c>
      <c r="L85" t="s">
        <v>42</v>
      </c>
      <c r="M85" t="s">
        <v>21</v>
      </c>
      <c r="N85" t="s">
        <v>43</v>
      </c>
      <c r="O85">
        <f t="shared" si="1"/>
        <v>15.767162573937982</v>
      </c>
    </row>
    <row r="86" spans="1:15" x14ac:dyDescent="0.3">
      <c r="A86" t="s">
        <v>275</v>
      </c>
      <c r="B86" t="s">
        <v>276</v>
      </c>
      <c r="C86" t="s">
        <v>274</v>
      </c>
      <c r="D86" t="s">
        <v>53</v>
      </c>
      <c r="E86" t="s">
        <v>73</v>
      </c>
      <c r="F86" t="s">
        <v>41</v>
      </c>
      <c r="G86">
        <v>47</v>
      </c>
      <c r="H86">
        <v>15.97</v>
      </c>
      <c r="I86">
        <v>750.59</v>
      </c>
      <c r="J86">
        <v>48.55</v>
      </c>
      <c r="K86">
        <v>102.79</v>
      </c>
      <c r="L86" t="s">
        <v>42</v>
      </c>
      <c r="M86" t="s">
        <v>35</v>
      </c>
      <c r="N86" t="s">
        <v>22</v>
      </c>
      <c r="O86">
        <f t="shared" si="1"/>
        <v>13.694560279246993</v>
      </c>
    </row>
    <row r="87" spans="1:15" x14ac:dyDescent="0.3">
      <c r="A87" t="s">
        <v>277</v>
      </c>
      <c r="B87" t="s">
        <v>278</v>
      </c>
      <c r="C87" t="s">
        <v>182</v>
      </c>
      <c r="D87" t="s">
        <v>63</v>
      </c>
      <c r="E87" t="s">
        <v>48</v>
      </c>
      <c r="F87" t="s">
        <v>49</v>
      </c>
      <c r="G87">
        <v>28</v>
      </c>
      <c r="H87">
        <v>53.6</v>
      </c>
      <c r="I87">
        <v>1500.8</v>
      </c>
      <c r="J87">
        <v>68.55</v>
      </c>
      <c r="K87">
        <v>312.25</v>
      </c>
      <c r="L87" t="s">
        <v>28</v>
      </c>
      <c r="M87" t="s">
        <v>29</v>
      </c>
      <c r="N87" t="s">
        <v>66</v>
      </c>
      <c r="O87">
        <f t="shared" si="1"/>
        <v>20.805570362473347</v>
      </c>
    </row>
    <row r="88" spans="1:15" x14ac:dyDescent="0.3">
      <c r="A88" t="s">
        <v>279</v>
      </c>
      <c r="B88" t="s">
        <v>229</v>
      </c>
      <c r="C88" t="s">
        <v>140</v>
      </c>
      <c r="D88" t="s">
        <v>249</v>
      </c>
      <c r="E88" t="s">
        <v>103</v>
      </c>
      <c r="F88" t="s">
        <v>59</v>
      </c>
      <c r="G88">
        <v>37</v>
      </c>
      <c r="H88">
        <v>40.049999999999997</v>
      </c>
      <c r="I88">
        <v>1481.85</v>
      </c>
      <c r="J88">
        <v>45.6</v>
      </c>
      <c r="K88">
        <v>400.25</v>
      </c>
      <c r="L88" t="s">
        <v>20</v>
      </c>
      <c r="M88" t="s">
        <v>35</v>
      </c>
      <c r="N88" t="s">
        <v>66</v>
      </c>
      <c r="O88">
        <f t="shared" si="1"/>
        <v>27.01015622363937</v>
      </c>
    </row>
    <row r="89" spans="1:15" x14ac:dyDescent="0.3">
      <c r="A89" t="s">
        <v>280</v>
      </c>
      <c r="B89" t="s">
        <v>281</v>
      </c>
      <c r="C89" t="s">
        <v>188</v>
      </c>
      <c r="D89" t="s">
        <v>34</v>
      </c>
      <c r="E89" t="s">
        <v>18</v>
      </c>
      <c r="F89" t="s">
        <v>19</v>
      </c>
      <c r="G89">
        <v>45</v>
      </c>
      <c r="H89">
        <v>43.74</v>
      </c>
      <c r="I89">
        <v>1968.3</v>
      </c>
      <c r="J89">
        <v>80.55</v>
      </c>
      <c r="K89">
        <v>312.75</v>
      </c>
      <c r="L89" t="s">
        <v>28</v>
      </c>
      <c r="M89" t="s">
        <v>35</v>
      </c>
      <c r="N89" t="s">
        <v>30</v>
      </c>
      <c r="O89">
        <f t="shared" si="1"/>
        <v>15.889346136259716</v>
      </c>
    </row>
    <row r="90" spans="1:15" x14ac:dyDescent="0.3">
      <c r="A90" t="s">
        <v>282</v>
      </c>
      <c r="B90" t="s">
        <v>283</v>
      </c>
      <c r="C90" t="s">
        <v>284</v>
      </c>
      <c r="D90" t="s">
        <v>26</v>
      </c>
      <c r="E90" t="s">
        <v>69</v>
      </c>
      <c r="F90" t="s">
        <v>59</v>
      </c>
      <c r="G90">
        <v>9</v>
      </c>
      <c r="H90">
        <v>24.63</v>
      </c>
      <c r="I90">
        <v>221.67</v>
      </c>
      <c r="J90">
        <v>13.53</v>
      </c>
      <c r="K90">
        <v>68.64</v>
      </c>
      <c r="L90" t="s">
        <v>28</v>
      </c>
      <c r="M90" t="s">
        <v>35</v>
      </c>
      <c r="N90" t="s">
        <v>30</v>
      </c>
      <c r="O90">
        <f t="shared" si="1"/>
        <v>30.964947895520371</v>
      </c>
    </row>
    <row r="91" spans="1:15" x14ac:dyDescent="0.3">
      <c r="A91" t="s">
        <v>285</v>
      </c>
      <c r="B91" t="s">
        <v>286</v>
      </c>
      <c r="C91" t="s">
        <v>46</v>
      </c>
      <c r="D91" t="s">
        <v>107</v>
      </c>
      <c r="E91" t="s">
        <v>69</v>
      </c>
      <c r="F91" t="s">
        <v>59</v>
      </c>
      <c r="G91">
        <v>6</v>
      </c>
      <c r="H91">
        <v>21.79</v>
      </c>
      <c r="I91">
        <v>130.74</v>
      </c>
      <c r="J91">
        <v>7.75</v>
      </c>
      <c r="K91">
        <v>29.99</v>
      </c>
      <c r="L91" t="s">
        <v>28</v>
      </c>
      <c r="M91" t="s">
        <v>35</v>
      </c>
      <c r="N91" t="s">
        <v>108</v>
      </c>
      <c r="O91">
        <f t="shared" si="1"/>
        <v>22.93865687624292</v>
      </c>
    </row>
    <row r="92" spans="1:15" x14ac:dyDescent="0.3">
      <c r="A92" t="s">
        <v>287</v>
      </c>
      <c r="B92" t="s">
        <v>192</v>
      </c>
      <c r="C92" t="s">
        <v>288</v>
      </c>
      <c r="D92" t="s">
        <v>137</v>
      </c>
      <c r="E92" t="s">
        <v>18</v>
      </c>
      <c r="F92" t="s">
        <v>19</v>
      </c>
      <c r="G92">
        <v>23</v>
      </c>
      <c r="H92">
        <v>58.43</v>
      </c>
      <c r="I92">
        <v>1343.89</v>
      </c>
      <c r="J92">
        <v>38.729999999999997</v>
      </c>
      <c r="K92">
        <v>500.16</v>
      </c>
      <c r="L92" t="s">
        <v>28</v>
      </c>
      <c r="M92" t="s">
        <v>21</v>
      </c>
      <c r="N92" t="s">
        <v>30</v>
      </c>
      <c r="O92">
        <f t="shared" si="1"/>
        <v>37.21733177566616</v>
      </c>
    </row>
    <row r="93" spans="1:15" x14ac:dyDescent="0.3">
      <c r="A93" t="s">
        <v>289</v>
      </c>
      <c r="B93" t="s">
        <v>81</v>
      </c>
      <c r="C93" t="s">
        <v>290</v>
      </c>
      <c r="D93" t="s">
        <v>82</v>
      </c>
      <c r="E93" t="s">
        <v>48</v>
      </c>
      <c r="F93" t="s">
        <v>49</v>
      </c>
      <c r="G93">
        <v>19</v>
      </c>
      <c r="H93">
        <v>67.06</v>
      </c>
      <c r="I93">
        <v>1274.1400000000001</v>
      </c>
      <c r="J93">
        <v>85.73</v>
      </c>
      <c r="K93">
        <v>428.41</v>
      </c>
      <c r="L93" t="s">
        <v>20</v>
      </c>
      <c r="M93" t="s">
        <v>29</v>
      </c>
      <c r="N93" t="s">
        <v>66</v>
      </c>
      <c r="O93">
        <f t="shared" si="1"/>
        <v>33.623463669612441</v>
      </c>
    </row>
    <row r="94" spans="1:15" x14ac:dyDescent="0.3">
      <c r="A94" t="s">
        <v>291</v>
      </c>
      <c r="B94" t="s">
        <v>292</v>
      </c>
      <c r="C94" t="s">
        <v>284</v>
      </c>
      <c r="D94" t="s">
        <v>34</v>
      </c>
      <c r="E94" t="s">
        <v>27</v>
      </c>
      <c r="F94" t="s">
        <v>19</v>
      </c>
      <c r="G94">
        <v>4</v>
      </c>
      <c r="H94">
        <v>25.13</v>
      </c>
      <c r="I94">
        <v>100.52</v>
      </c>
      <c r="J94">
        <v>5.6</v>
      </c>
      <c r="K94">
        <v>22.92</v>
      </c>
      <c r="L94" t="s">
        <v>28</v>
      </c>
      <c r="M94" t="s">
        <v>35</v>
      </c>
      <c r="N94" t="s">
        <v>30</v>
      </c>
      <c r="O94">
        <f t="shared" si="1"/>
        <v>22.801432550736177</v>
      </c>
    </row>
    <row r="95" spans="1:15" x14ac:dyDescent="0.3">
      <c r="A95" t="s">
        <v>293</v>
      </c>
      <c r="B95" t="s">
        <v>294</v>
      </c>
      <c r="C95" t="s">
        <v>295</v>
      </c>
      <c r="D95" t="s">
        <v>34</v>
      </c>
      <c r="E95" t="s">
        <v>69</v>
      </c>
      <c r="F95" t="s">
        <v>59</v>
      </c>
      <c r="G95">
        <v>26</v>
      </c>
      <c r="H95">
        <v>19.34</v>
      </c>
      <c r="I95">
        <v>502.84</v>
      </c>
      <c r="J95">
        <v>26.51</v>
      </c>
      <c r="K95">
        <v>73.33</v>
      </c>
      <c r="L95" t="s">
        <v>28</v>
      </c>
      <c r="M95" t="s">
        <v>21</v>
      </c>
      <c r="N95" t="s">
        <v>30</v>
      </c>
      <c r="O95">
        <f t="shared" si="1"/>
        <v>14.583167607986635</v>
      </c>
    </row>
    <row r="96" spans="1:15" x14ac:dyDescent="0.3">
      <c r="A96" t="s">
        <v>296</v>
      </c>
      <c r="B96" t="s">
        <v>297</v>
      </c>
      <c r="C96" t="s">
        <v>298</v>
      </c>
      <c r="D96" t="s">
        <v>107</v>
      </c>
      <c r="E96" t="s">
        <v>54</v>
      </c>
      <c r="F96" t="s">
        <v>41</v>
      </c>
      <c r="G96">
        <v>26</v>
      </c>
      <c r="H96">
        <v>35.81</v>
      </c>
      <c r="I96">
        <v>931.06</v>
      </c>
      <c r="J96">
        <v>61.06</v>
      </c>
      <c r="K96">
        <v>350</v>
      </c>
      <c r="L96" t="s">
        <v>20</v>
      </c>
      <c r="M96" t="s">
        <v>21</v>
      </c>
      <c r="N96" t="s">
        <v>108</v>
      </c>
      <c r="O96">
        <f t="shared" si="1"/>
        <v>37.591562305329411</v>
      </c>
    </row>
    <row r="97" spans="1:15" x14ac:dyDescent="0.3">
      <c r="A97" t="s">
        <v>299</v>
      </c>
      <c r="B97" t="s">
        <v>300</v>
      </c>
      <c r="C97" t="s">
        <v>301</v>
      </c>
      <c r="D97" t="s">
        <v>82</v>
      </c>
      <c r="E97" t="s">
        <v>58</v>
      </c>
      <c r="F97" t="s">
        <v>59</v>
      </c>
      <c r="G97">
        <v>42</v>
      </c>
      <c r="H97">
        <v>39.950000000000003</v>
      </c>
      <c r="I97">
        <v>1677.9</v>
      </c>
      <c r="J97">
        <v>93.95</v>
      </c>
      <c r="K97">
        <v>638.95000000000005</v>
      </c>
      <c r="L97" t="s">
        <v>28</v>
      </c>
      <c r="M97" t="s">
        <v>29</v>
      </c>
      <c r="N97" t="s">
        <v>66</v>
      </c>
      <c r="O97">
        <f t="shared" si="1"/>
        <v>38.080338518386078</v>
      </c>
    </row>
    <row r="98" spans="1:15" x14ac:dyDescent="0.3">
      <c r="A98" t="s">
        <v>302</v>
      </c>
      <c r="B98" t="s">
        <v>303</v>
      </c>
      <c r="C98" t="s">
        <v>111</v>
      </c>
      <c r="D98" t="s">
        <v>89</v>
      </c>
      <c r="E98" t="s">
        <v>18</v>
      </c>
      <c r="F98" t="s">
        <v>19</v>
      </c>
      <c r="G98">
        <v>38</v>
      </c>
      <c r="H98">
        <v>49.98</v>
      </c>
      <c r="I98">
        <v>1899.24</v>
      </c>
      <c r="J98">
        <v>112.91</v>
      </c>
      <c r="K98">
        <v>456.33</v>
      </c>
      <c r="L98" t="s">
        <v>42</v>
      </c>
      <c r="M98" t="s">
        <v>35</v>
      </c>
      <c r="N98" t="s">
        <v>66</v>
      </c>
      <c r="O98">
        <f t="shared" si="1"/>
        <v>24.026979212737725</v>
      </c>
    </row>
    <row r="99" spans="1:15" x14ac:dyDescent="0.3">
      <c r="A99" t="s">
        <v>304</v>
      </c>
      <c r="B99" t="s">
        <v>305</v>
      </c>
      <c r="C99" t="s">
        <v>157</v>
      </c>
      <c r="D99" t="s">
        <v>93</v>
      </c>
      <c r="E99" t="s">
        <v>103</v>
      </c>
      <c r="F99" t="s">
        <v>59</v>
      </c>
      <c r="G99">
        <v>1</v>
      </c>
      <c r="H99">
        <v>45.84</v>
      </c>
      <c r="I99">
        <v>45.84</v>
      </c>
      <c r="J99">
        <v>1.26</v>
      </c>
      <c r="K99">
        <v>16.579999999999998</v>
      </c>
      <c r="L99" t="s">
        <v>42</v>
      </c>
      <c r="M99" t="s">
        <v>21</v>
      </c>
      <c r="N99" t="s">
        <v>66</v>
      </c>
      <c r="O99">
        <f t="shared" si="1"/>
        <v>36.16928446771378</v>
      </c>
    </row>
    <row r="100" spans="1:15" x14ac:dyDescent="0.3">
      <c r="A100" t="s">
        <v>306</v>
      </c>
      <c r="B100" t="s">
        <v>307</v>
      </c>
      <c r="C100" t="s">
        <v>268</v>
      </c>
      <c r="D100" t="s">
        <v>172</v>
      </c>
      <c r="E100" t="s">
        <v>27</v>
      </c>
      <c r="F100" t="s">
        <v>19</v>
      </c>
      <c r="G100">
        <v>38</v>
      </c>
      <c r="H100">
        <v>26.34</v>
      </c>
      <c r="I100">
        <v>1000.92</v>
      </c>
      <c r="J100">
        <v>47.88</v>
      </c>
      <c r="K100">
        <v>269.04000000000002</v>
      </c>
      <c r="L100" t="s">
        <v>20</v>
      </c>
      <c r="M100" t="s">
        <v>29</v>
      </c>
      <c r="N100" t="s">
        <v>173</v>
      </c>
      <c r="O100">
        <f t="shared" si="1"/>
        <v>26.879271070615037</v>
      </c>
    </row>
    <row r="101" spans="1:15" x14ac:dyDescent="0.3">
      <c r="A101" t="s">
        <v>308</v>
      </c>
      <c r="B101" t="s">
        <v>309</v>
      </c>
      <c r="C101" t="s">
        <v>235</v>
      </c>
      <c r="D101" t="s">
        <v>137</v>
      </c>
      <c r="E101" t="s">
        <v>64</v>
      </c>
      <c r="F101" t="s">
        <v>65</v>
      </c>
      <c r="G101">
        <v>30</v>
      </c>
      <c r="H101">
        <v>36.43</v>
      </c>
      <c r="I101">
        <v>1092.9000000000001</v>
      </c>
      <c r="J101">
        <v>61.97</v>
      </c>
      <c r="K101">
        <v>280.93</v>
      </c>
      <c r="L101" t="s">
        <v>42</v>
      </c>
      <c r="M101" t="s">
        <v>29</v>
      </c>
      <c r="N101" t="s">
        <v>30</v>
      </c>
      <c r="O101">
        <f t="shared" si="1"/>
        <v>25.705005032482386</v>
      </c>
    </row>
    <row r="102" spans="1:15" x14ac:dyDescent="0.3">
      <c r="A102" t="s">
        <v>310</v>
      </c>
      <c r="B102" t="s">
        <v>311</v>
      </c>
      <c r="C102" t="s">
        <v>274</v>
      </c>
      <c r="D102" t="s">
        <v>34</v>
      </c>
      <c r="E102" t="s">
        <v>73</v>
      </c>
      <c r="F102" t="s">
        <v>41</v>
      </c>
      <c r="G102">
        <v>9</v>
      </c>
      <c r="H102">
        <v>22.27</v>
      </c>
      <c r="I102">
        <v>200.43</v>
      </c>
      <c r="J102">
        <v>13.21</v>
      </c>
      <c r="K102">
        <v>72.47</v>
      </c>
      <c r="L102" t="s">
        <v>28</v>
      </c>
      <c r="M102" t="s">
        <v>29</v>
      </c>
      <c r="N102" t="s">
        <v>30</v>
      </c>
      <c r="O102">
        <f t="shared" si="1"/>
        <v>36.157261886943068</v>
      </c>
    </row>
    <row r="103" spans="1:15" x14ac:dyDescent="0.3">
      <c r="A103" t="s">
        <v>312</v>
      </c>
      <c r="B103" t="s">
        <v>81</v>
      </c>
      <c r="C103" t="s">
        <v>128</v>
      </c>
      <c r="D103" t="s">
        <v>172</v>
      </c>
      <c r="E103" t="s">
        <v>69</v>
      </c>
      <c r="F103" t="s">
        <v>59</v>
      </c>
      <c r="G103">
        <v>26</v>
      </c>
      <c r="H103">
        <v>27.65</v>
      </c>
      <c r="I103">
        <v>718.9</v>
      </c>
      <c r="J103">
        <v>46.25</v>
      </c>
      <c r="K103">
        <v>269.64999999999998</v>
      </c>
      <c r="L103" t="s">
        <v>28</v>
      </c>
      <c r="M103" t="s">
        <v>35</v>
      </c>
      <c r="N103" t="s">
        <v>173</v>
      </c>
      <c r="O103">
        <f t="shared" si="1"/>
        <v>37.508693837807762</v>
      </c>
    </row>
    <row r="104" spans="1:15" x14ac:dyDescent="0.3">
      <c r="A104" t="s">
        <v>313</v>
      </c>
      <c r="B104" t="s">
        <v>314</v>
      </c>
      <c r="C104" t="s">
        <v>268</v>
      </c>
      <c r="D104" t="s">
        <v>26</v>
      </c>
      <c r="E104" t="s">
        <v>69</v>
      </c>
      <c r="F104" t="s">
        <v>59</v>
      </c>
      <c r="G104">
        <v>23</v>
      </c>
      <c r="H104">
        <v>22.45</v>
      </c>
      <c r="I104">
        <v>516.35</v>
      </c>
      <c r="J104">
        <v>15.68</v>
      </c>
      <c r="K104">
        <v>144.16999999999999</v>
      </c>
      <c r="L104" t="s">
        <v>42</v>
      </c>
      <c r="M104" t="s">
        <v>35</v>
      </c>
      <c r="N104" t="s">
        <v>30</v>
      </c>
      <c r="O104">
        <f t="shared" si="1"/>
        <v>27.920983828798292</v>
      </c>
    </row>
    <row r="105" spans="1:15" x14ac:dyDescent="0.3">
      <c r="A105" t="s">
        <v>315</v>
      </c>
      <c r="B105" t="s">
        <v>316</v>
      </c>
      <c r="C105" t="s">
        <v>163</v>
      </c>
      <c r="D105" t="s">
        <v>26</v>
      </c>
      <c r="E105" t="s">
        <v>69</v>
      </c>
      <c r="F105" t="s">
        <v>59</v>
      </c>
      <c r="G105">
        <v>30</v>
      </c>
      <c r="H105">
        <v>21.93</v>
      </c>
      <c r="I105">
        <v>657.9</v>
      </c>
      <c r="J105">
        <v>24.66</v>
      </c>
      <c r="K105">
        <v>168.24</v>
      </c>
      <c r="L105" t="s">
        <v>28</v>
      </c>
      <c r="M105" t="s">
        <v>21</v>
      </c>
      <c r="N105" t="s">
        <v>30</v>
      </c>
      <c r="O105">
        <f t="shared" si="1"/>
        <v>25.572275421796625</v>
      </c>
    </row>
    <row r="106" spans="1:15" x14ac:dyDescent="0.3">
      <c r="A106" t="s">
        <v>317</v>
      </c>
      <c r="B106" t="s">
        <v>318</v>
      </c>
      <c r="C106" t="s">
        <v>319</v>
      </c>
      <c r="D106" t="s">
        <v>82</v>
      </c>
      <c r="E106" t="s">
        <v>73</v>
      </c>
      <c r="F106" t="s">
        <v>41</v>
      </c>
      <c r="G106">
        <v>43</v>
      </c>
      <c r="H106">
        <v>21.92</v>
      </c>
      <c r="I106">
        <v>942.56</v>
      </c>
      <c r="J106">
        <v>51.15</v>
      </c>
      <c r="K106">
        <v>343.16</v>
      </c>
      <c r="L106" t="s">
        <v>20</v>
      </c>
      <c r="M106" t="s">
        <v>35</v>
      </c>
      <c r="N106" t="s">
        <v>66</v>
      </c>
      <c r="O106">
        <f t="shared" si="1"/>
        <v>36.407231369886276</v>
      </c>
    </row>
    <row r="107" spans="1:15" x14ac:dyDescent="0.3">
      <c r="A107" t="s">
        <v>320</v>
      </c>
      <c r="B107" t="s">
        <v>321</v>
      </c>
      <c r="C107" t="s">
        <v>72</v>
      </c>
      <c r="D107" t="s">
        <v>39</v>
      </c>
      <c r="E107" t="s">
        <v>48</v>
      </c>
      <c r="F107" t="s">
        <v>49</v>
      </c>
      <c r="G107">
        <v>3</v>
      </c>
      <c r="H107">
        <v>56.21</v>
      </c>
      <c r="I107">
        <v>168.63</v>
      </c>
      <c r="J107">
        <v>7.56</v>
      </c>
      <c r="K107">
        <v>41.07</v>
      </c>
      <c r="L107" t="s">
        <v>42</v>
      </c>
      <c r="M107" t="s">
        <v>21</v>
      </c>
      <c r="N107" t="s">
        <v>43</v>
      </c>
      <c r="O107">
        <f t="shared" si="1"/>
        <v>24.355096957836686</v>
      </c>
    </row>
    <row r="108" spans="1:15" x14ac:dyDescent="0.3">
      <c r="A108" t="s">
        <v>322</v>
      </c>
      <c r="B108" t="s">
        <v>323</v>
      </c>
      <c r="C108" t="s">
        <v>16</v>
      </c>
      <c r="D108" t="s">
        <v>34</v>
      </c>
      <c r="E108" t="s">
        <v>73</v>
      </c>
      <c r="F108" t="s">
        <v>41</v>
      </c>
      <c r="G108">
        <v>33</v>
      </c>
      <c r="H108">
        <v>15.44</v>
      </c>
      <c r="I108">
        <v>509.52</v>
      </c>
      <c r="J108">
        <v>19.7</v>
      </c>
      <c r="K108">
        <v>69.069999999999993</v>
      </c>
      <c r="L108" t="s">
        <v>20</v>
      </c>
      <c r="M108" t="s">
        <v>35</v>
      </c>
      <c r="N108" t="s">
        <v>30</v>
      </c>
      <c r="O108">
        <f t="shared" si="1"/>
        <v>13.555895745014915</v>
      </c>
    </row>
    <row r="109" spans="1:15" x14ac:dyDescent="0.3">
      <c r="A109" t="s">
        <v>324</v>
      </c>
      <c r="B109" t="s">
        <v>325</v>
      </c>
      <c r="C109" t="s">
        <v>117</v>
      </c>
      <c r="D109" t="s">
        <v>107</v>
      </c>
      <c r="E109" t="s">
        <v>69</v>
      </c>
      <c r="F109" t="s">
        <v>59</v>
      </c>
      <c r="G109">
        <v>50</v>
      </c>
      <c r="H109">
        <v>23.02</v>
      </c>
      <c r="I109">
        <v>1151</v>
      </c>
      <c r="J109">
        <v>69.3</v>
      </c>
      <c r="K109">
        <v>306.7</v>
      </c>
      <c r="L109" t="s">
        <v>28</v>
      </c>
      <c r="M109" t="s">
        <v>29</v>
      </c>
      <c r="N109" t="s">
        <v>108</v>
      </c>
      <c r="O109">
        <f t="shared" si="1"/>
        <v>26.646394439617723</v>
      </c>
    </row>
    <row r="110" spans="1:15" x14ac:dyDescent="0.3">
      <c r="A110" t="s">
        <v>326</v>
      </c>
      <c r="B110" t="s">
        <v>234</v>
      </c>
      <c r="C110" t="s">
        <v>327</v>
      </c>
      <c r="D110" t="s">
        <v>39</v>
      </c>
      <c r="E110" t="s">
        <v>73</v>
      </c>
      <c r="F110" t="s">
        <v>41</v>
      </c>
      <c r="G110">
        <v>8</v>
      </c>
      <c r="H110">
        <v>17.010000000000002</v>
      </c>
      <c r="I110">
        <v>136.08000000000001</v>
      </c>
      <c r="J110">
        <v>8.84</v>
      </c>
      <c r="K110">
        <v>25.24</v>
      </c>
      <c r="L110" t="s">
        <v>20</v>
      </c>
      <c r="M110" t="s">
        <v>35</v>
      </c>
      <c r="N110" t="s">
        <v>43</v>
      </c>
      <c r="O110">
        <f t="shared" si="1"/>
        <v>18.547912992357436</v>
      </c>
    </row>
    <row r="111" spans="1:15" x14ac:dyDescent="0.3">
      <c r="A111" t="s">
        <v>328</v>
      </c>
      <c r="B111" t="s">
        <v>329</v>
      </c>
      <c r="C111" t="s">
        <v>268</v>
      </c>
      <c r="D111" t="s">
        <v>137</v>
      </c>
      <c r="E111" t="s">
        <v>27</v>
      </c>
      <c r="F111" t="s">
        <v>19</v>
      </c>
      <c r="G111">
        <v>16</v>
      </c>
      <c r="H111">
        <v>26.47</v>
      </c>
      <c r="I111">
        <v>423.52</v>
      </c>
      <c r="J111">
        <v>15.87</v>
      </c>
      <c r="K111">
        <v>119.65</v>
      </c>
      <c r="L111" t="s">
        <v>28</v>
      </c>
      <c r="M111" t="s">
        <v>21</v>
      </c>
      <c r="N111" t="s">
        <v>30</v>
      </c>
      <c r="O111">
        <f t="shared" si="1"/>
        <v>28.251322251605593</v>
      </c>
    </row>
    <row r="112" spans="1:15" x14ac:dyDescent="0.3">
      <c r="A112" t="s">
        <v>330</v>
      </c>
      <c r="B112" t="s">
        <v>331</v>
      </c>
      <c r="C112" t="s">
        <v>238</v>
      </c>
      <c r="D112" t="s">
        <v>39</v>
      </c>
      <c r="E112" t="s">
        <v>40</v>
      </c>
      <c r="F112" t="s">
        <v>41</v>
      </c>
      <c r="G112">
        <v>32</v>
      </c>
      <c r="H112">
        <v>43.18</v>
      </c>
      <c r="I112">
        <v>1381.76</v>
      </c>
      <c r="J112">
        <v>88.54</v>
      </c>
      <c r="K112">
        <v>269.22000000000003</v>
      </c>
      <c r="L112" t="s">
        <v>28</v>
      </c>
      <c r="M112" t="s">
        <v>35</v>
      </c>
      <c r="N112" t="s">
        <v>43</v>
      </c>
      <c r="O112">
        <f t="shared" si="1"/>
        <v>19.483846688281613</v>
      </c>
    </row>
    <row r="113" spans="1:15" x14ac:dyDescent="0.3">
      <c r="A113" t="s">
        <v>332</v>
      </c>
      <c r="B113" t="s">
        <v>333</v>
      </c>
      <c r="C113" t="s">
        <v>143</v>
      </c>
      <c r="D113" t="s">
        <v>172</v>
      </c>
      <c r="E113" t="s">
        <v>69</v>
      </c>
      <c r="F113" t="s">
        <v>59</v>
      </c>
      <c r="G113">
        <v>29</v>
      </c>
      <c r="H113">
        <v>18.850000000000001</v>
      </c>
      <c r="I113">
        <v>546.65</v>
      </c>
      <c r="J113">
        <v>13.22</v>
      </c>
      <c r="K113">
        <v>83.93</v>
      </c>
      <c r="L113" t="s">
        <v>20</v>
      </c>
      <c r="M113" t="s">
        <v>35</v>
      </c>
      <c r="N113" t="s">
        <v>173</v>
      </c>
      <c r="O113">
        <f t="shared" si="1"/>
        <v>15.353516875514501</v>
      </c>
    </row>
    <row r="114" spans="1:15" x14ac:dyDescent="0.3">
      <c r="A114" t="s">
        <v>334</v>
      </c>
      <c r="B114" t="s">
        <v>335</v>
      </c>
      <c r="C114" t="s">
        <v>336</v>
      </c>
      <c r="D114" t="s">
        <v>137</v>
      </c>
      <c r="E114" t="s">
        <v>48</v>
      </c>
      <c r="F114" t="s">
        <v>49</v>
      </c>
      <c r="G114">
        <v>16</v>
      </c>
      <c r="H114">
        <v>64.400000000000006</v>
      </c>
      <c r="I114">
        <v>1030.4000000000001</v>
      </c>
      <c r="J114">
        <v>61.72</v>
      </c>
      <c r="K114">
        <v>328.68</v>
      </c>
      <c r="L114" t="s">
        <v>28</v>
      </c>
      <c r="M114" t="s">
        <v>29</v>
      </c>
      <c r="N114" t="s">
        <v>30</v>
      </c>
      <c r="O114">
        <f t="shared" si="1"/>
        <v>31.898291925465838</v>
      </c>
    </row>
    <row r="115" spans="1:15" x14ac:dyDescent="0.3">
      <c r="A115" t="s">
        <v>337</v>
      </c>
      <c r="B115" t="s">
        <v>338</v>
      </c>
      <c r="C115" t="s">
        <v>339</v>
      </c>
      <c r="D115" t="s">
        <v>82</v>
      </c>
      <c r="E115" t="s">
        <v>69</v>
      </c>
      <c r="F115" t="s">
        <v>59</v>
      </c>
      <c r="G115">
        <v>15</v>
      </c>
      <c r="H115">
        <v>19.53</v>
      </c>
      <c r="I115">
        <v>292.95</v>
      </c>
      <c r="J115">
        <v>7.15</v>
      </c>
      <c r="K115">
        <v>53.3</v>
      </c>
      <c r="L115" t="s">
        <v>42</v>
      </c>
      <c r="M115" t="s">
        <v>29</v>
      </c>
      <c r="N115" t="s">
        <v>66</v>
      </c>
      <c r="O115">
        <f t="shared" si="1"/>
        <v>18.194231097456903</v>
      </c>
    </row>
    <row r="116" spans="1:15" x14ac:dyDescent="0.3">
      <c r="A116" t="s">
        <v>340</v>
      </c>
      <c r="B116" t="s">
        <v>292</v>
      </c>
      <c r="C116" t="s">
        <v>148</v>
      </c>
      <c r="D116" t="s">
        <v>207</v>
      </c>
      <c r="E116" t="s">
        <v>54</v>
      </c>
      <c r="F116" t="s">
        <v>41</v>
      </c>
      <c r="G116">
        <v>36</v>
      </c>
      <c r="H116">
        <v>26.05</v>
      </c>
      <c r="I116">
        <v>937.8</v>
      </c>
      <c r="J116">
        <v>32.799999999999997</v>
      </c>
      <c r="K116">
        <v>185</v>
      </c>
      <c r="L116" t="s">
        <v>20</v>
      </c>
      <c r="M116" t="s">
        <v>35</v>
      </c>
      <c r="N116" t="s">
        <v>30</v>
      </c>
      <c r="O116">
        <f t="shared" si="1"/>
        <v>19.727020686713587</v>
      </c>
    </row>
    <row r="117" spans="1:15" x14ac:dyDescent="0.3">
      <c r="A117" t="s">
        <v>341</v>
      </c>
      <c r="B117" t="s">
        <v>342</v>
      </c>
      <c r="C117" t="s">
        <v>62</v>
      </c>
      <c r="D117" t="s">
        <v>107</v>
      </c>
      <c r="E117" t="s">
        <v>40</v>
      </c>
      <c r="F117" t="s">
        <v>41</v>
      </c>
      <c r="G117">
        <v>26</v>
      </c>
      <c r="H117">
        <v>47.52</v>
      </c>
      <c r="I117">
        <v>1235.52</v>
      </c>
      <c r="J117">
        <v>31.41</v>
      </c>
      <c r="K117">
        <v>372.11</v>
      </c>
      <c r="L117" t="s">
        <v>28</v>
      </c>
      <c r="M117" t="s">
        <v>21</v>
      </c>
      <c r="N117" t="s">
        <v>108</v>
      </c>
      <c r="O117">
        <f t="shared" si="1"/>
        <v>30.117683242683245</v>
      </c>
    </row>
    <row r="118" spans="1:15" x14ac:dyDescent="0.3">
      <c r="A118" t="s">
        <v>343</v>
      </c>
      <c r="B118" t="s">
        <v>97</v>
      </c>
      <c r="C118" t="s">
        <v>301</v>
      </c>
      <c r="D118" t="s">
        <v>137</v>
      </c>
      <c r="E118" t="s">
        <v>27</v>
      </c>
      <c r="F118" t="s">
        <v>19</v>
      </c>
      <c r="G118">
        <v>38</v>
      </c>
      <c r="H118">
        <v>26.38</v>
      </c>
      <c r="I118">
        <v>1002.44</v>
      </c>
      <c r="J118">
        <v>33.049999999999997</v>
      </c>
      <c r="K118">
        <v>285.39</v>
      </c>
      <c r="L118" t="s">
        <v>28</v>
      </c>
      <c r="M118" t="s">
        <v>21</v>
      </c>
      <c r="N118" t="s">
        <v>30</v>
      </c>
      <c r="O118">
        <f t="shared" si="1"/>
        <v>28.46953433621962</v>
      </c>
    </row>
    <row r="119" spans="1:15" x14ac:dyDescent="0.3">
      <c r="A119" t="s">
        <v>344</v>
      </c>
      <c r="B119" t="s">
        <v>294</v>
      </c>
      <c r="C119" t="s">
        <v>188</v>
      </c>
      <c r="D119" t="s">
        <v>93</v>
      </c>
      <c r="E119" t="s">
        <v>73</v>
      </c>
      <c r="F119" t="s">
        <v>41</v>
      </c>
      <c r="G119">
        <v>7</v>
      </c>
      <c r="H119">
        <v>17.66</v>
      </c>
      <c r="I119">
        <v>123.62</v>
      </c>
      <c r="J119">
        <v>6.95</v>
      </c>
      <c r="K119">
        <v>27.42</v>
      </c>
      <c r="L119" t="s">
        <v>20</v>
      </c>
      <c r="M119" t="s">
        <v>21</v>
      </c>
      <c r="N119" t="s">
        <v>66</v>
      </c>
      <c r="O119">
        <f t="shared" si="1"/>
        <v>22.180876880763631</v>
      </c>
    </row>
    <row r="120" spans="1:15" x14ac:dyDescent="0.3">
      <c r="A120" t="s">
        <v>345</v>
      </c>
      <c r="B120" t="s">
        <v>276</v>
      </c>
      <c r="C120" t="s">
        <v>193</v>
      </c>
      <c r="D120" t="s">
        <v>172</v>
      </c>
      <c r="E120" t="s">
        <v>18</v>
      </c>
      <c r="F120" t="s">
        <v>19</v>
      </c>
      <c r="G120">
        <v>26</v>
      </c>
      <c r="H120">
        <v>51.5</v>
      </c>
      <c r="I120">
        <v>1339</v>
      </c>
      <c r="J120">
        <v>92.09</v>
      </c>
      <c r="K120">
        <v>336.91</v>
      </c>
      <c r="L120" t="s">
        <v>28</v>
      </c>
      <c r="M120" t="s">
        <v>29</v>
      </c>
      <c r="N120" t="s">
        <v>173</v>
      </c>
      <c r="O120">
        <f t="shared" si="1"/>
        <v>25.161314413741596</v>
      </c>
    </row>
    <row r="121" spans="1:15" x14ac:dyDescent="0.3">
      <c r="A121" t="s">
        <v>346</v>
      </c>
      <c r="B121" t="s">
        <v>347</v>
      </c>
      <c r="C121" t="s">
        <v>348</v>
      </c>
      <c r="D121" t="s">
        <v>17</v>
      </c>
      <c r="E121" t="s">
        <v>69</v>
      </c>
      <c r="F121" t="s">
        <v>59</v>
      </c>
      <c r="G121">
        <v>27</v>
      </c>
      <c r="H121">
        <v>25</v>
      </c>
      <c r="I121">
        <v>675</v>
      </c>
      <c r="J121">
        <v>15.49</v>
      </c>
      <c r="K121">
        <v>241.01</v>
      </c>
      <c r="L121" t="s">
        <v>28</v>
      </c>
      <c r="M121" t="s">
        <v>29</v>
      </c>
      <c r="N121" t="s">
        <v>22</v>
      </c>
      <c r="O121">
        <f t="shared" si="1"/>
        <v>35.705185185185186</v>
      </c>
    </row>
    <row r="122" spans="1:15" x14ac:dyDescent="0.3">
      <c r="A122" t="s">
        <v>349</v>
      </c>
      <c r="B122" t="s">
        <v>350</v>
      </c>
      <c r="C122" t="s">
        <v>52</v>
      </c>
      <c r="D122" t="s">
        <v>107</v>
      </c>
      <c r="E122" t="s">
        <v>73</v>
      </c>
      <c r="F122" t="s">
        <v>41</v>
      </c>
      <c r="G122">
        <v>4</v>
      </c>
      <c r="H122">
        <v>19</v>
      </c>
      <c r="I122">
        <v>76</v>
      </c>
      <c r="J122">
        <v>3.78</v>
      </c>
      <c r="K122">
        <v>21.22</v>
      </c>
      <c r="L122" t="s">
        <v>28</v>
      </c>
      <c r="M122" t="s">
        <v>35</v>
      </c>
      <c r="N122" t="s">
        <v>108</v>
      </c>
      <c r="O122">
        <f t="shared" si="1"/>
        <v>27.921052631578945</v>
      </c>
    </row>
    <row r="123" spans="1:15" x14ac:dyDescent="0.3">
      <c r="A123" t="s">
        <v>351</v>
      </c>
      <c r="B123" t="s">
        <v>113</v>
      </c>
      <c r="C123" t="s">
        <v>274</v>
      </c>
      <c r="D123" t="s">
        <v>47</v>
      </c>
      <c r="E123" t="s">
        <v>69</v>
      </c>
      <c r="F123" t="s">
        <v>59</v>
      </c>
      <c r="G123">
        <v>24</v>
      </c>
      <c r="H123">
        <v>26.63</v>
      </c>
      <c r="I123">
        <v>639.12</v>
      </c>
      <c r="J123">
        <v>31.92</v>
      </c>
      <c r="K123">
        <v>235.2</v>
      </c>
      <c r="L123" t="s">
        <v>42</v>
      </c>
      <c r="M123" t="s">
        <v>35</v>
      </c>
      <c r="N123" t="s">
        <v>22</v>
      </c>
      <c r="O123">
        <f t="shared" si="1"/>
        <v>36.800600826135934</v>
      </c>
    </row>
    <row r="124" spans="1:15" x14ac:dyDescent="0.3">
      <c r="A124" t="s">
        <v>352</v>
      </c>
      <c r="B124" t="s">
        <v>353</v>
      </c>
      <c r="C124" t="s">
        <v>100</v>
      </c>
      <c r="D124" t="s">
        <v>82</v>
      </c>
      <c r="E124" t="s">
        <v>64</v>
      </c>
      <c r="F124" t="s">
        <v>65</v>
      </c>
      <c r="G124">
        <v>26</v>
      </c>
      <c r="H124">
        <v>43.14</v>
      </c>
      <c r="I124">
        <v>1121.6400000000001</v>
      </c>
      <c r="J124">
        <v>48.08</v>
      </c>
      <c r="K124">
        <v>423.56</v>
      </c>
      <c r="L124" t="s">
        <v>20</v>
      </c>
      <c r="M124" t="s">
        <v>29</v>
      </c>
      <c r="N124" t="s">
        <v>66</v>
      </c>
      <c r="O124">
        <f t="shared" si="1"/>
        <v>37.762561962840124</v>
      </c>
    </row>
    <row r="125" spans="1:15" x14ac:dyDescent="0.3">
      <c r="A125" t="s">
        <v>354</v>
      </c>
      <c r="B125" t="s">
        <v>355</v>
      </c>
      <c r="C125" t="s">
        <v>284</v>
      </c>
      <c r="D125" t="s">
        <v>47</v>
      </c>
      <c r="E125" t="s">
        <v>64</v>
      </c>
      <c r="F125" t="s">
        <v>65</v>
      </c>
      <c r="G125">
        <v>39</v>
      </c>
      <c r="H125">
        <v>30.01</v>
      </c>
      <c r="I125">
        <v>1170.3900000000001</v>
      </c>
      <c r="J125">
        <v>60.43</v>
      </c>
      <c r="K125">
        <v>134.96</v>
      </c>
      <c r="L125" t="s">
        <v>28</v>
      </c>
      <c r="M125" t="s">
        <v>21</v>
      </c>
      <c r="N125" t="s">
        <v>22</v>
      </c>
      <c r="O125">
        <f t="shared" si="1"/>
        <v>11.531199002042055</v>
      </c>
    </row>
    <row r="126" spans="1:15" x14ac:dyDescent="0.3">
      <c r="A126" t="s">
        <v>356</v>
      </c>
      <c r="B126" t="s">
        <v>357</v>
      </c>
      <c r="C126" t="s">
        <v>358</v>
      </c>
      <c r="D126" t="s">
        <v>207</v>
      </c>
      <c r="E126" t="s">
        <v>58</v>
      </c>
      <c r="F126" t="s">
        <v>59</v>
      </c>
      <c r="G126">
        <v>5</v>
      </c>
      <c r="H126">
        <v>31.31</v>
      </c>
      <c r="I126">
        <v>156.55000000000001</v>
      </c>
      <c r="J126">
        <v>4.04</v>
      </c>
      <c r="K126">
        <v>40.01</v>
      </c>
      <c r="L126" t="s">
        <v>42</v>
      </c>
      <c r="M126" t="s">
        <v>35</v>
      </c>
      <c r="N126" t="s">
        <v>30</v>
      </c>
      <c r="O126">
        <f t="shared" si="1"/>
        <v>25.557329926541041</v>
      </c>
    </row>
    <row r="127" spans="1:15" x14ac:dyDescent="0.3">
      <c r="A127" t="s">
        <v>359</v>
      </c>
      <c r="B127" t="s">
        <v>360</v>
      </c>
      <c r="C127" t="s">
        <v>257</v>
      </c>
      <c r="D127" t="s">
        <v>17</v>
      </c>
      <c r="E127" t="s">
        <v>103</v>
      </c>
      <c r="F127" t="s">
        <v>59</v>
      </c>
      <c r="G127">
        <v>42</v>
      </c>
      <c r="H127">
        <v>36.950000000000003</v>
      </c>
      <c r="I127">
        <v>1551.9</v>
      </c>
      <c r="J127">
        <v>74.260000000000005</v>
      </c>
      <c r="K127">
        <v>301.64</v>
      </c>
      <c r="L127" t="s">
        <v>28</v>
      </c>
      <c r="M127" t="s">
        <v>29</v>
      </c>
      <c r="N127" t="s">
        <v>22</v>
      </c>
      <c r="O127">
        <f t="shared" si="1"/>
        <v>19.436819382692182</v>
      </c>
    </row>
    <row r="128" spans="1:15" x14ac:dyDescent="0.3">
      <c r="A128" t="s">
        <v>361</v>
      </c>
      <c r="B128" t="s">
        <v>362</v>
      </c>
      <c r="C128" t="s">
        <v>363</v>
      </c>
      <c r="D128" t="s">
        <v>82</v>
      </c>
      <c r="E128" t="s">
        <v>48</v>
      </c>
      <c r="F128" t="s">
        <v>49</v>
      </c>
      <c r="G128">
        <v>36</v>
      </c>
      <c r="H128">
        <v>57.37</v>
      </c>
      <c r="I128">
        <v>2065.3200000000002</v>
      </c>
      <c r="J128">
        <v>94.34</v>
      </c>
      <c r="K128">
        <v>530.98</v>
      </c>
      <c r="L128" t="s">
        <v>42</v>
      </c>
      <c r="M128" t="s">
        <v>21</v>
      </c>
      <c r="N128" t="s">
        <v>66</v>
      </c>
      <c r="O128">
        <f t="shared" si="1"/>
        <v>25.709333178393663</v>
      </c>
    </row>
    <row r="129" spans="1:15" x14ac:dyDescent="0.3">
      <c r="A129" t="s">
        <v>364</v>
      </c>
      <c r="B129" t="s">
        <v>365</v>
      </c>
      <c r="C129" t="s">
        <v>38</v>
      </c>
      <c r="D129" t="s">
        <v>89</v>
      </c>
      <c r="E129" t="s">
        <v>103</v>
      </c>
      <c r="F129" t="s">
        <v>59</v>
      </c>
      <c r="G129">
        <v>13</v>
      </c>
      <c r="H129">
        <v>40.18</v>
      </c>
      <c r="I129">
        <v>522.34</v>
      </c>
      <c r="J129">
        <v>37.369999999999997</v>
      </c>
      <c r="K129">
        <v>120.97</v>
      </c>
      <c r="L129" t="s">
        <v>28</v>
      </c>
      <c r="M129" t="s">
        <v>35</v>
      </c>
      <c r="N129" t="s">
        <v>66</v>
      </c>
      <c r="O129">
        <f t="shared" si="1"/>
        <v>23.15924493624842</v>
      </c>
    </row>
    <row r="130" spans="1:15" x14ac:dyDescent="0.3">
      <c r="A130" t="s">
        <v>366</v>
      </c>
      <c r="B130" t="s">
        <v>367</v>
      </c>
      <c r="C130" t="s">
        <v>295</v>
      </c>
      <c r="D130" t="s">
        <v>93</v>
      </c>
      <c r="E130" t="s">
        <v>40</v>
      </c>
      <c r="F130" t="s">
        <v>41</v>
      </c>
      <c r="G130">
        <v>37</v>
      </c>
      <c r="H130">
        <v>39.299999999999997</v>
      </c>
      <c r="I130">
        <v>1454.1</v>
      </c>
      <c r="J130">
        <v>67.08</v>
      </c>
      <c r="K130">
        <v>203.02</v>
      </c>
      <c r="L130" t="s">
        <v>42</v>
      </c>
      <c r="M130" t="s">
        <v>21</v>
      </c>
      <c r="N130" t="s">
        <v>66</v>
      </c>
      <c r="O130">
        <f t="shared" si="1"/>
        <v>13.961900832129842</v>
      </c>
    </row>
    <row r="131" spans="1:15" x14ac:dyDescent="0.3">
      <c r="A131" t="s">
        <v>368</v>
      </c>
      <c r="B131" t="s">
        <v>369</v>
      </c>
      <c r="C131" t="s">
        <v>274</v>
      </c>
      <c r="D131" t="s">
        <v>47</v>
      </c>
      <c r="E131" t="s">
        <v>40</v>
      </c>
      <c r="F131" t="s">
        <v>41</v>
      </c>
      <c r="G131">
        <v>17</v>
      </c>
      <c r="H131">
        <v>43.28</v>
      </c>
      <c r="I131">
        <v>735.76</v>
      </c>
      <c r="J131">
        <v>50.96</v>
      </c>
      <c r="K131">
        <v>140.80000000000001</v>
      </c>
      <c r="L131" t="s">
        <v>28</v>
      </c>
      <c r="M131" t="s">
        <v>29</v>
      </c>
      <c r="N131" t="s">
        <v>22</v>
      </c>
      <c r="O131">
        <f t="shared" ref="O131:O194" si="2">K131/I131*100</f>
        <v>19.136675002718277</v>
      </c>
    </row>
    <row r="132" spans="1:15" x14ac:dyDescent="0.3">
      <c r="A132" t="s">
        <v>370</v>
      </c>
      <c r="B132" t="s">
        <v>371</v>
      </c>
      <c r="C132" t="s">
        <v>16</v>
      </c>
      <c r="D132" t="s">
        <v>89</v>
      </c>
      <c r="E132" t="s">
        <v>18</v>
      </c>
      <c r="F132" t="s">
        <v>19</v>
      </c>
      <c r="G132">
        <v>22</v>
      </c>
      <c r="H132">
        <v>62.79</v>
      </c>
      <c r="I132">
        <v>1381.38</v>
      </c>
      <c r="J132">
        <v>75.84</v>
      </c>
      <c r="K132">
        <v>535.54</v>
      </c>
      <c r="L132" t="s">
        <v>42</v>
      </c>
      <c r="M132" t="s">
        <v>35</v>
      </c>
      <c r="N132" t="s">
        <v>66</v>
      </c>
      <c r="O132">
        <f t="shared" si="2"/>
        <v>38.768477898912671</v>
      </c>
    </row>
    <row r="133" spans="1:15" x14ac:dyDescent="0.3">
      <c r="A133" t="s">
        <v>372</v>
      </c>
      <c r="B133" t="s">
        <v>373</v>
      </c>
      <c r="C133" t="s">
        <v>215</v>
      </c>
      <c r="D133" t="s">
        <v>207</v>
      </c>
      <c r="E133" t="s">
        <v>48</v>
      </c>
      <c r="F133" t="s">
        <v>49</v>
      </c>
      <c r="G133">
        <v>23</v>
      </c>
      <c r="H133">
        <v>56.76</v>
      </c>
      <c r="I133">
        <v>1305.48</v>
      </c>
      <c r="J133">
        <v>62.93</v>
      </c>
      <c r="K133">
        <v>322.55</v>
      </c>
      <c r="L133" t="s">
        <v>42</v>
      </c>
      <c r="M133" t="s">
        <v>35</v>
      </c>
      <c r="N133" t="s">
        <v>30</v>
      </c>
      <c r="O133">
        <f t="shared" si="2"/>
        <v>24.707387321138587</v>
      </c>
    </row>
    <row r="134" spans="1:15" x14ac:dyDescent="0.3">
      <c r="A134" t="s">
        <v>374</v>
      </c>
      <c r="B134" t="s">
        <v>375</v>
      </c>
      <c r="C134" t="s">
        <v>33</v>
      </c>
      <c r="D134" t="s">
        <v>26</v>
      </c>
      <c r="E134" t="s">
        <v>48</v>
      </c>
      <c r="F134" t="s">
        <v>49</v>
      </c>
      <c r="G134">
        <v>22</v>
      </c>
      <c r="H134">
        <v>60.13</v>
      </c>
      <c r="I134">
        <v>1322.86</v>
      </c>
      <c r="J134">
        <v>54.06</v>
      </c>
      <c r="K134">
        <v>388.8</v>
      </c>
      <c r="L134" t="s">
        <v>42</v>
      </c>
      <c r="M134" t="s">
        <v>29</v>
      </c>
      <c r="N134" t="s">
        <v>30</v>
      </c>
      <c r="O134">
        <f t="shared" si="2"/>
        <v>29.39086524651135</v>
      </c>
    </row>
    <row r="135" spans="1:15" x14ac:dyDescent="0.3">
      <c r="A135" t="s">
        <v>376</v>
      </c>
      <c r="B135" t="s">
        <v>353</v>
      </c>
      <c r="C135" t="s">
        <v>377</v>
      </c>
      <c r="D135" t="s">
        <v>82</v>
      </c>
      <c r="E135" t="s">
        <v>64</v>
      </c>
      <c r="F135" t="s">
        <v>65</v>
      </c>
      <c r="G135">
        <v>21</v>
      </c>
      <c r="H135">
        <v>40.98</v>
      </c>
      <c r="I135">
        <v>860.58</v>
      </c>
      <c r="J135">
        <v>37.01</v>
      </c>
      <c r="K135">
        <v>298.57</v>
      </c>
      <c r="L135" t="s">
        <v>20</v>
      </c>
      <c r="M135" t="s">
        <v>35</v>
      </c>
      <c r="N135" t="s">
        <v>66</v>
      </c>
      <c r="O135">
        <f t="shared" si="2"/>
        <v>34.694043552023054</v>
      </c>
    </row>
    <row r="136" spans="1:15" x14ac:dyDescent="0.3">
      <c r="A136" t="s">
        <v>378</v>
      </c>
      <c r="B136" t="s">
        <v>379</v>
      </c>
      <c r="C136" t="s">
        <v>154</v>
      </c>
      <c r="D136" t="s">
        <v>39</v>
      </c>
      <c r="E136" t="s">
        <v>48</v>
      </c>
      <c r="F136" t="s">
        <v>49</v>
      </c>
      <c r="G136">
        <v>36</v>
      </c>
      <c r="H136">
        <v>54.6</v>
      </c>
      <c r="I136">
        <v>1965.6</v>
      </c>
      <c r="J136">
        <v>150.34</v>
      </c>
      <c r="K136">
        <v>375.26</v>
      </c>
      <c r="L136" t="s">
        <v>28</v>
      </c>
      <c r="M136" t="s">
        <v>21</v>
      </c>
      <c r="N136" t="s">
        <v>43</v>
      </c>
      <c r="O136">
        <f t="shared" si="2"/>
        <v>19.09137159137159</v>
      </c>
    </row>
    <row r="137" spans="1:15" x14ac:dyDescent="0.3">
      <c r="A137" t="s">
        <v>380</v>
      </c>
      <c r="B137" t="s">
        <v>381</v>
      </c>
      <c r="C137" t="s">
        <v>327</v>
      </c>
      <c r="D137" t="s">
        <v>34</v>
      </c>
      <c r="E137" t="s">
        <v>69</v>
      </c>
      <c r="F137" t="s">
        <v>59</v>
      </c>
      <c r="G137">
        <v>1</v>
      </c>
      <c r="H137">
        <v>27.49</v>
      </c>
      <c r="I137">
        <v>27.49</v>
      </c>
      <c r="J137">
        <v>0.63</v>
      </c>
      <c r="K137">
        <v>11.36</v>
      </c>
      <c r="L137" t="s">
        <v>28</v>
      </c>
      <c r="M137" t="s">
        <v>35</v>
      </c>
      <c r="N137" t="s">
        <v>30</v>
      </c>
      <c r="O137">
        <f t="shared" si="2"/>
        <v>41.324117861040378</v>
      </c>
    </row>
    <row r="138" spans="1:15" x14ac:dyDescent="0.3">
      <c r="A138" t="s">
        <v>382</v>
      </c>
      <c r="B138" t="s">
        <v>383</v>
      </c>
      <c r="C138" t="s">
        <v>384</v>
      </c>
      <c r="D138" t="s">
        <v>82</v>
      </c>
      <c r="E138" t="s">
        <v>40</v>
      </c>
      <c r="F138" t="s">
        <v>41</v>
      </c>
      <c r="G138">
        <v>50</v>
      </c>
      <c r="H138">
        <v>41.11</v>
      </c>
      <c r="I138">
        <v>2055.5</v>
      </c>
      <c r="J138">
        <v>95.61</v>
      </c>
      <c r="K138">
        <v>359.89</v>
      </c>
      <c r="L138" t="s">
        <v>42</v>
      </c>
      <c r="M138" t="s">
        <v>29</v>
      </c>
      <c r="N138" t="s">
        <v>66</v>
      </c>
      <c r="O138">
        <f t="shared" si="2"/>
        <v>17.508635368523471</v>
      </c>
    </row>
    <row r="139" spans="1:15" x14ac:dyDescent="0.3">
      <c r="A139" t="s">
        <v>385</v>
      </c>
      <c r="B139" t="s">
        <v>386</v>
      </c>
      <c r="C139" t="s">
        <v>157</v>
      </c>
      <c r="D139" t="s">
        <v>63</v>
      </c>
      <c r="E139" t="s">
        <v>69</v>
      </c>
      <c r="F139" t="s">
        <v>59</v>
      </c>
      <c r="G139">
        <v>18</v>
      </c>
      <c r="H139">
        <v>25.54</v>
      </c>
      <c r="I139">
        <v>459.72</v>
      </c>
      <c r="J139">
        <v>27.02</v>
      </c>
      <c r="K139">
        <v>153.69999999999999</v>
      </c>
      <c r="L139" t="s">
        <v>28</v>
      </c>
      <c r="M139" t="s">
        <v>21</v>
      </c>
      <c r="N139" t="s">
        <v>66</v>
      </c>
      <c r="O139">
        <f t="shared" si="2"/>
        <v>33.433394239972152</v>
      </c>
    </row>
    <row r="140" spans="1:15" x14ac:dyDescent="0.3">
      <c r="A140" t="s">
        <v>387</v>
      </c>
      <c r="B140" t="s">
        <v>388</v>
      </c>
      <c r="C140" t="s">
        <v>336</v>
      </c>
      <c r="D140" t="s">
        <v>93</v>
      </c>
      <c r="E140" t="s">
        <v>103</v>
      </c>
      <c r="F140" t="s">
        <v>59</v>
      </c>
      <c r="G140">
        <v>4</v>
      </c>
      <c r="H140">
        <v>47.52</v>
      </c>
      <c r="I140">
        <v>190.08</v>
      </c>
      <c r="J140">
        <v>10.23</v>
      </c>
      <c r="K140">
        <v>67.849999999999994</v>
      </c>
      <c r="L140" t="s">
        <v>20</v>
      </c>
      <c r="M140" t="s">
        <v>21</v>
      </c>
      <c r="N140" t="s">
        <v>66</v>
      </c>
      <c r="O140">
        <f t="shared" si="2"/>
        <v>35.695496632996623</v>
      </c>
    </row>
    <row r="141" spans="1:15" x14ac:dyDescent="0.3">
      <c r="A141" t="s">
        <v>389</v>
      </c>
      <c r="B141" t="s">
        <v>390</v>
      </c>
      <c r="C141" t="s">
        <v>238</v>
      </c>
      <c r="D141" t="s">
        <v>34</v>
      </c>
      <c r="E141" t="s">
        <v>64</v>
      </c>
      <c r="F141" t="s">
        <v>65</v>
      </c>
      <c r="G141">
        <v>29</v>
      </c>
      <c r="H141">
        <v>30.48</v>
      </c>
      <c r="I141">
        <v>883.92</v>
      </c>
      <c r="J141">
        <v>33.15</v>
      </c>
      <c r="K141">
        <v>125.77</v>
      </c>
      <c r="L141" t="s">
        <v>42</v>
      </c>
      <c r="M141" t="s">
        <v>21</v>
      </c>
      <c r="N141" t="s">
        <v>30</v>
      </c>
      <c r="O141">
        <f t="shared" si="2"/>
        <v>14.228663227441398</v>
      </c>
    </row>
    <row r="142" spans="1:15" x14ac:dyDescent="0.3">
      <c r="A142" t="s">
        <v>391</v>
      </c>
      <c r="B142" t="s">
        <v>222</v>
      </c>
      <c r="C142" t="s">
        <v>235</v>
      </c>
      <c r="D142" t="s">
        <v>107</v>
      </c>
      <c r="E142" t="s">
        <v>48</v>
      </c>
      <c r="F142" t="s">
        <v>49</v>
      </c>
      <c r="G142">
        <v>27</v>
      </c>
      <c r="H142">
        <v>50.39</v>
      </c>
      <c r="I142">
        <v>1360.53</v>
      </c>
      <c r="J142">
        <v>106.4</v>
      </c>
      <c r="K142">
        <v>174.13</v>
      </c>
      <c r="L142" t="s">
        <v>28</v>
      </c>
      <c r="M142" t="s">
        <v>29</v>
      </c>
      <c r="N142" t="s">
        <v>108</v>
      </c>
      <c r="O142">
        <f t="shared" si="2"/>
        <v>12.798688746297399</v>
      </c>
    </row>
    <row r="143" spans="1:15" x14ac:dyDescent="0.3">
      <c r="A143" t="s">
        <v>392</v>
      </c>
      <c r="B143" t="s">
        <v>393</v>
      </c>
      <c r="C143" t="s">
        <v>198</v>
      </c>
      <c r="D143" t="s">
        <v>207</v>
      </c>
      <c r="E143" t="s">
        <v>64</v>
      </c>
      <c r="F143" t="s">
        <v>65</v>
      </c>
      <c r="G143">
        <v>34</v>
      </c>
      <c r="H143">
        <v>37.68</v>
      </c>
      <c r="I143">
        <v>1281.1199999999999</v>
      </c>
      <c r="J143">
        <v>54.86</v>
      </c>
      <c r="K143">
        <v>376.26</v>
      </c>
      <c r="L143" t="s">
        <v>42</v>
      </c>
      <c r="M143" t="s">
        <v>21</v>
      </c>
      <c r="N143" t="s">
        <v>30</v>
      </c>
      <c r="O143">
        <f t="shared" si="2"/>
        <v>29.369614087673291</v>
      </c>
    </row>
    <row r="144" spans="1:15" x14ac:dyDescent="0.3">
      <c r="A144" t="s">
        <v>394</v>
      </c>
      <c r="B144" t="s">
        <v>75</v>
      </c>
      <c r="C144" t="s">
        <v>395</v>
      </c>
      <c r="D144" t="s">
        <v>93</v>
      </c>
      <c r="E144" t="s">
        <v>64</v>
      </c>
      <c r="F144" t="s">
        <v>65</v>
      </c>
      <c r="G144">
        <v>3</v>
      </c>
      <c r="H144">
        <v>39.32</v>
      </c>
      <c r="I144">
        <v>117.96</v>
      </c>
      <c r="J144">
        <v>6.97</v>
      </c>
      <c r="K144">
        <v>35.99</v>
      </c>
      <c r="L144" t="s">
        <v>28</v>
      </c>
      <c r="M144" t="s">
        <v>29</v>
      </c>
      <c r="N144" t="s">
        <v>66</v>
      </c>
      <c r="O144">
        <f t="shared" si="2"/>
        <v>30.510342488979319</v>
      </c>
    </row>
    <row r="145" spans="1:15" x14ac:dyDescent="0.3">
      <c r="A145" t="s">
        <v>396</v>
      </c>
      <c r="B145" t="s">
        <v>357</v>
      </c>
      <c r="C145" t="s">
        <v>339</v>
      </c>
      <c r="D145" t="s">
        <v>47</v>
      </c>
      <c r="E145" t="s">
        <v>73</v>
      </c>
      <c r="F145" t="s">
        <v>41</v>
      </c>
      <c r="G145">
        <v>24</v>
      </c>
      <c r="H145">
        <v>18</v>
      </c>
      <c r="I145">
        <v>432</v>
      </c>
      <c r="J145">
        <v>22.68</v>
      </c>
      <c r="K145">
        <v>103.32</v>
      </c>
      <c r="L145" t="s">
        <v>20</v>
      </c>
      <c r="M145" t="s">
        <v>35</v>
      </c>
      <c r="N145" t="s">
        <v>22</v>
      </c>
      <c r="O145">
        <f t="shared" si="2"/>
        <v>23.916666666666664</v>
      </c>
    </row>
    <row r="146" spans="1:15" x14ac:dyDescent="0.3">
      <c r="A146" t="s">
        <v>397</v>
      </c>
      <c r="B146" t="s">
        <v>398</v>
      </c>
      <c r="C146" t="s">
        <v>128</v>
      </c>
      <c r="D146" t="s">
        <v>26</v>
      </c>
      <c r="E146" t="s">
        <v>58</v>
      </c>
      <c r="F146" t="s">
        <v>59</v>
      </c>
      <c r="G146">
        <v>5</v>
      </c>
      <c r="H146">
        <v>36.43</v>
      </c>
      <c r="I146">
        <v>182.15</v>
      </c>
      <c r="J146">
        <v>7.82</v>
      </c>
      <c r="K146">
        <v>61.83</v>
      </c>
      <c r="L146" t="s">
        <v>20</v>
      </c>
      <c r="M146" t="s">
        <v>35</v>
      </c>
      <c r="N146" t="s">
        <v>30</v>
      </c>
      <c r="O146">
        <f t="shared" si="2"/>
        <v>33.944551194070819</v>
      </c>
    </row>
    <row r="147" spans="1:15" x14ac:dyDescent="0.3">
      <c r="A147" t="s">
        <v>399</v>
      </c>
      <c r="B147" t="s">
        <v>400</v>
      </c>
      <c r="C147" t="s">
        <v>136</v>
      </c>
      <c r="D147" t="s">
        <v>63</v>
      </c>
      <c r="E147" t="s">
        <v>58</v>
      </c>
      <c r="F147" t="s">
        <v>59</v>
      </c>
      <c r="G147">
        <v>27</v>
      </c>
      <c r="H147">
        <v>38.39</v>
      </c>
      <c r="I147">
        <v>1036.53</v>
      </c>
      <c r="J147">
        <v>28.6</v>
      </c>
      <c r="K147">
        <v>400.43</v>
      </c>
      <c r="L147" t="s">
        <v>28</v>
      </c>
      <c r="M147" t="s">
        <v>21</v>
      </c>
      <c r="N147" t="s">
        <v>66</v>
      </c>
      <c r="O147">
        <f t="shared" si="2"/>
        <v>38.631781038657834</v>
      </c>
    </row>
    <row r="148" spans="1:15" x14ac:dyDescent="0.3">
      <c r="A148" t="s">
        <v>401</v>
      </c>
      <c r="B148" t="s">
        <v>402</v>
      </c>
      <c r="C148" t="s">
        <v>185</v>
      </c>
      <c r="D148" t="s">
        <v>39</v>
      </c>
      <c r="E148" t="s">
        <v>103</v>
      </c>
      <c r="F148" t="s">
        <v>59</v>
      </c>
      <c r="G148">
        <v>10</v>
      </c>
      <c r="H148">
        <v>47.5</v>
      </c>
      <c r="I148">
        <v>475</v>
      </c>
      <c r="J148">
        <v>15.95</v>
      </c>
      <c r="K148">
        <v>179.05</v>
      </c>
      <c r="L148" t="s">
        <v>20</v>
      </c>
      <c r="M148" t="s">
        <v>21</v>
      </c>
      <c r="N148" t="s">
        <v>43</v>
      </c>
      <c r="O148">
        <f t="shared" si="2"/>
        <v>37.694736842105264</v>
      </c>
    </row>
    <row r="149" spans="1:15" x14ac:dyDescent="0.3">
      <c r="A149" t="s">
        <v>403</v>
      </c>
      <c r="B149" t="s">
        <v>240</v>
      </c>
      <c r="C149" t="s">
        <v>404</v>
      </c>
      <c r="D149" t="s">
        <v>89</v>
      </c>
      <c r="E149" t="s">
        <v>40</v>
      </c>
      <c r="F149" t="s">
        <v>41</v>
      </c>
      <c r="G149">
        <v>47</v>
      </c>
      <c r="H149">
        <v>50.13</v>
      </c>
      <c r="I149">
        <v>2356.11</v>
      </c>
      <c r="J149">
        <v>166.22</v>
      </c>
      <c r="K149">
        <v>685.89</v>
      </c>
      <c r="L149" t="s">
        <v>20</v>
      </c>
      <c r="M149" t="s">
        <v>21</v>
      </c>
      <c r="N149" t="s">
        <v>66</v>
      </c>
      <c r="O149">
        <f t="shared" si="2"/>
        <v>29.111119599679132</v>
      </c>
    </row>
    <row r="150" spans="1:15" x14ac:dyDescent="0.3">
      <c r="A150" t="s">
        <v>405</v>
      </c>
      <c r="B150" t="s">
        <v>406</v>
      </c>
      <c r="C150" t="s">
        <v>407</v>
      </c>
      <c r="D150" t="s">
        <v>53</v>
      </c>
      <c r="E150" t="s">
        <v>103</v>
      </c>
      <c r="F150" t="s">
        <v>59</v>
      </c>
      <c r="G150">
        <v>47</v>
      </c>
      <c r="H150">
        <v>42.25</v>
      </c>
      <c r="I150">
        <v>1985.75</v>
      </c>
      <c r="J150">
        <v>116.75</v>
      </c>
      <c r="K150">
        <v>553</v>
      </c>
      <c r="L150" t="s">
        <v>28</v>
      </c>
      <c r="M150" t="s">
        <v>21</v>
      </c>
      <c r="N150" t="s">
        <v>22</v>
      </c>
      <c r="O150">
        <f t="shared" si="2"/>
        <v>27.848419992446178</v>
      </c>
    </row>
    <row r="151" spans="1:15" x14ac:dyDescent="0.3">
      <c r="A151" t="s">
        <v>408</v>
      </c>
      <c r="B151" t="s">
        <v>87</v>
      </c>
      <c r="C151" t="s">
        <v>409</v>
      </c>
      <c r="D151" t="s">
        <v>63</v>
      </c>
      <c r="E151" t="s">
        <v>64</v>
      </c>
      <c r="F151" t="s">
        <v>65</v>
      </c>
      <c r="G151">
        <v>18</v>
      </c>
      <c r="H151">
        <v>38.26</v>
      </c>
      <c r="I151">
        <v>688.68</v>
      </c>
      <c r="J151">
        <v>18.78</v>
      </c>
      <c r="K151">
        <v>219.9</v>
      </c>
      <c r="L151" t="s">
        <v>28</v>
      </c>
      <c r="M151" t="s">
        <v>21</v>
      </c>
      <c r="N151" t="s">
        <v>66</v>
      </c>
      <c r="O151">
        <f t="shared" si="2"/>
        <v>31.930649939013765</v>
      </c>
    </row>
    <row r="152" spans="1:15" x14ac:dyDescent="0.3">
      <c r="A152" t="s">
        <v>410</v>
      </c>
      <c r="B152" t="s">
        <v>411</v>
      </c>
      <c r="C152" t="s">
        <v>106</v>
      </c>
      <c r="D152" t="s">
        <v>82</v>
      </c>
      <c r="E152" t="s">
        <v>103</v>
      </c>
      <c r="F152" t="s">
        <v>59</v>
      </c>
      <c r="G152">
        <v>31</v>
      </c>
      <c r="H152">
        <v>46.66</v>
      </c>
      <c r="I152">
        <v>1446.46</v>
      </c>
      <c r="J152">
        <v>109.24</v>
      </c>
      <c r="K152">
        <v>469.22</v>
      </c>
      <c r="L152" t="s">
        <v>20</v>
      </c>
      <c r="M152" t="s">
        <v>35</v>
      </c>
      <c r="N152" t="s">
        <v>66</v>
      </c>
      <c r="O152">
        <f t="shared" si="2"/>
        <v>32.439196382893407</v>
      </c>
    </row>
    <row r="153" spans="1:15" x14ac:dyDescent="0.3">
      <c r="A153" t="s">
        <v>412</v>
      </c>
      <c r="B153" t="s">
        <v>413</v>
      </c>
      <c r="C153" t="s">
        <v>414</v>
      </c>
      <c r="D153" t="s">
        <v>107</v>
      </c>
      <c r="E153" t="s">
        <v>40</v>
      </c>
      <c r="F153" t="s">
        <v>41</v>
      </c>
      <c r="G153">
        <v>41</v>
      </c>
      <c r="H153">
        <v>52.65</v>
      </c>
      <c r="I153">
        <v>2158.65</v>
      </c>
      <c r="J153">
        <v>110.1</v>
      </c>
      <c r="K153">
        <v>736.55</v>
      </c>
      <c r="L153" t="s">
        <v>28</v>
      </c>
      <c r="M153" t="s">
        <v>35</v>
      </c>
      <c r="N153" t="s">
        <v>108</v>
      </c>
      <c r="O153">
        <f t="shared" si="2"/>
        <v>34.120862576147125</v>
      </c>
    </row>
    <row r="154" spans="1:15" x14ac:dyDescent="0.3">
      <c r="A154" t="s">
        <v>415</v>
      </c>
      <c r="B154" t="s">
        <v>416</v>
      </c>
      <c r="C154" t="s">
        <v>151</v>
      </c>
      <c r="D154" t="s">
        <v>93</v>
      </c>
      <c r="E154" t="s">
        <v>27</v>
      </c>
      <c r="F154" t="s">
        <v>19</v>
      </c>
      <c r="G154">
        <v>28</v>
      </c>
      <c r="H154">
        <v>22.66</v>
      </c>
      <c r="I154">
        <v>634.48</v>
      </c>
      <c r="J154">
        <v>15.55</v>
      </c>
      <c r="K154">
        <v>114.93</v>
      </c>
      <c r="L154" t="s">
        <v>42</v>
      </c>
      <c r="M154" t="s">
        <v>21</v>
      </c>
      <c r="N154" t="s">
        <v>66</v>
      </c>
      <c r="O154">
        <f t="shared" si="2"/>
        <v>18.114046148026731</v>
      </c>
    </row>
    <row r="155" spans="1:15" x14ac:dyDescent="0.3">
      <c r="A155" t="s">
        <v>417</v>
      </c>
      <c r="B155" t="s">
        <v>418</v>
      </c>
      <c r="C155" t="s">
        <v>395</v>
      </c>
      <c r="D155" t="s">
        <v>53</v>
      </c>
      <c r="E155" t="s">
        <v>69</v>
      </c>
      <c r="F155" t="s">
        <v>59</v>
      </c>
      <c r="G155">
        <v>48</v>
      </c>
      <c r="H155">
        <v>25.07</v>
      </c>
      <c r="I155">
        <v>1203.3599999999999</v>
      </c>
      <c r="J155">
        <v>29.93</v>
      </c>
      <c r="K155">
        <v>429.43</v>
      </c>
      <c r="L155" t="s">
        <v>28</v>
      </c>
      <c r="M155" t="s">
        <v>29</v>
      </c>
      <c r="N155" t="s">
        <v>22</v>
      </c>
      <c r="O155">
        <f t="shared" si="2"/>
        <v>35.685912777556176</v>
      </c>
    </row>
    <row r="156" spans="1:15" x14ac:dyDescent="0.3">
      <c r="A156" t="s">
        <v>419</v>
      </c>
      <c r="B156" t="s">
        <v>206</v>
      </c>
      <c r="C156" t="s">
        <v>38</v>
      </c>
      <c r="D156" t="s">
        <v>39</v>
      </c>
      <c r="E156" t="s">
        <v>27</v>
      </c>
      <c r="F156" t="s">
        <v>19</v>
      </c>
      <c r="G156">
        <v>31</v>
      </c>
      <c r="H156">
        <v>30.53</v>
      </c>
      <c r="I156">
        <v>946.43</v>
      </c>
      <c r="J156">
        <v>72.150000000000006</v>
      </c>
      <c r="K156">
        <v>316.27999999999997</v>
      </c>
      <c r="L156" t="s">
        <v>42</v>
      </c>
      <c r="M156" t="s">
        <v>29</v>
      </c>
      <c r="N156" t="s">
        <v>43</v>
      </c>
      <c r="O156">
        <f t="shared" si="2"/>
        <v>33.418213708356667</v>
      </c>
    </row>
    <row r="157" spans="1:15" x14ac:dyDescent="0.3">
      <c r="A157" t="s">
        <v>420</v>
      </c>
      <c r="B157" t="s">
        <v>421</v>
      </c>
      <c r="C157" t="s">
        <v>422</v>
      </c>
      <c r="D157" t="s">
        <v>107</v>
      </c>
      <c r="E157" t="s">
        <v>58</v>
      </c>
      <c r="F157" t="s">
        <v>59</v>
      </c>
      <c r="G157">
        <v>33</v>
      </c>
      <c r="H157">
        <v>31</v>
      </c>
      <c r="I157">
        <v>1023</v>
      </c>
      <c r="J157">
        <v>63.94</v>
      </c>
      <c r="K157">
        <v>216.56</v>
      </c>
      <c r="L157" t="s">
        <v>28</v>
      </c>
      <c r="M157" t="s">
        <v>21</v>
      </c>
      <c r="N157" t="s">
        <v>108</v>
      </c>
      <c r="O157">
        <f t="shared" si="2"/>
        <v>21.169110459433043</v>
      </c>
    </row>
    <row r="158" spans="1:15" x14ac:dyDescent="0.3">
      <c r="A158" t="s">
        <v>423</v>
      </c>
      <c r="B158" t="s">
        <v>424</v>
      </c>
      <c r="C158" t="s">
        <v>157</v>
      </c>
      <c r="D158" t="s">
        <v>26</v>
      </c>
      <c r="E158" t="s">
        <v>69</v>
      </c>
      <c r="F158" t="s">
        <v>59</v>
      </c>
      <c r="G158">
        <v>32</v>
      </c>
      <c r="H158">
        <v>20.86</v>
      </c>
      <c r="I158">
        <v>667.52</v>
      </c>
      <c r="J158">
        <v>21.62</v>
      </c>
      <c r="K158">
        <v>149.9</v>
      </c>
      <c r="L158" t="s">
        <v>42</v>
      </c>
      <c r="M158" t="s">
        <v>35</v>
      </c>
      <c r="N158" t="s">
        <v>30</v>
      </c>
      <c r="O158">
        <f t="shared" si="2"/>
        <v>22.456255992329819</v>
      </c>
    </row>
    <row r="159" spans="1:15" x14ac:dyDescent="0.3">
      <c r="A159" t="s">
        <v>425</v>
      </c>
      <c r="B159" t="s">
        <v>297</v>
      </c>
      <c r="C159" t="s">
        <v>188</v>
      </c>
      <c r="D159" t="s">
        <v>207</v>
      </c>
      <c r="E159" t="s">
        <v>54</v>
      </c>
      <c r="F159" t="s">
        <v>41</v>
      </c>
      <c r="G159">
        <v>18</v>
      </c>
      <c r="H159">
        <v>24.61</v>
      </c>
      <c r="I159">
        <v>442.98</v>
      </c>
      <c r="J159">
        <v>26.99</v>
      </c>
      <c r="K159">
        <v>55.99</v>
      </c>
      <c r="L159" t="s">
        <v>42</v>
      </c>
      <c r="M159" t="s">
        <v>21</v>
      </c>
      <c r="N159" t="s">
        <v>30</v>
      </c>
      <c r="O159">
        <f t="shared" si="2"/>
        <v>12.639396812497179</v>
      </c>
    </row>
    <row r="160" spans="1:15" x14ac:dyDescent="0.3">
      <c r="A160" t="s">
        <v>426</v>
      </c>
      <c r="B160" t="s">
        <v>427</v>
      </c>
      <c r="C160" t="s">
        <v>120</v>
      </c>
      <c r="D160" t="s">
        <v>82</v>
      </c>
      <c r="E160" t="s">
        <v>48</v>
      </c>
      <c r="F160" t="s">
        <v>49</v>
      </c>
      <c r="G160">
        <v>18</v>
      </c>
      <c r="H160">
        <v>64.83</v>
      </c>
      <c r="I160">
        <v>1166.94</v>
      </c>
      <c r="J160">
        <v>34.28</v>
      </c>
      <c r="K160">
        <v>412.66</v>
      </c>
      <c r="L160" t="s">
        <v>42</v>
      </c>
      <c r="M160" t="s">
        <v>21</v>
      </c>
      <c r="N160" t="s">
        <v>66</v>
      </c>
      <c r="O160">
        <f t="shared" si="2"/>
        <v>35.362572197370902</v>
      </c>
    </row>
    <row r="161" spans="1:15" x14ac:dyDescent="0.3">
      <c r="A161" t="s">
        <v>428</v>
      </c>
      <c r="B161" t="s">
        <v>99</v>
      </c>
      <c r="C161" t="s">
        <v>429</v>
      </c>
      <c r="D161" t="s">
        <v>53</v>
      </c>
      <c r="E161" t="s">
        <v>54</v>
      </c>
      <c r="F161" t="s">
        <v>41</v>
      </c>
      <c r="G161">
        <v>49</v>
      </c>
      <c r="H161">
        <v>29.52</v>
      </c>
      <c r="I161">
        <v>1446.48</v>
      </c>
      <c r="J161">
        <v>104.7</v>
      </c>
      <c r="K161">
        <v>361.78</v>
      </c>
      <c r="L161" t="s">
        <v>42</v>
      </c>
      <c r="M161" t="s">
        <v>35</v>
      </c>
      <c r="N161" t="s">
        <v>22</v>
      </c>
      <c r="O161">
        <f t="shared" si="2"/>
        <v>25.011061335103147</v>
      </c>
    </row>
    <row r="162" spans="1:15" x14ac:dyDescent="0.3">
      <c r="A162" t="s">
        <v>430</v>
      </c>
      <c r="B162" t="s">
        <v>431</v>
      </c>
      <c r="C162" t="s">
        <v>432</v>
      </c>
      <c r="D162" t="s">
        <v>107</v>
      </c>
      <c r="E162" t="s">
        <v>54</v>
      </c>
      <c r="F162" t="s">
        <v>41</v>
      </c>
      <c r="G162">
        <v>10</v>
      </c>
      <c r="H162">
        <v>26.73</v>
      </c>
      <c r="I162">
        <v>267.3</v>
      </c>
      <c r="J162">
        <v>10.210000000000001</v>
      </c>
      <c r="K162">
        <v>57.09</v>
      </c>
      <c r="L162" t="s">
        <v>42</v>
      </c>
      <c r="M162" t="s">
        <v>35</v>
      </c>
      <c r="N162" t="s">
        <v>108</v>
      </c>
      <c r="O162">
        <f t="shared" si="2"/>
        <v>21.358024691358025</v>
      </c>
    </row>
    <row r="163" spans="1:15" x14ac:dyDescent="0.3">
      <c r="A163" t="s">
        <v>433</v>
      </c>
      <c r="B163" t="s">
        <v>434</v>
      </c>
      <c r="C163" t="s">
        <v>72</v>
      </c>
      <c r="D163" t="s">
        <v>26</v>
      </c>
      <c r="E163" t="s">
        <v>40</v>
      </c>
      <c r="F163" t="s">
        <v>41</v>
      </c>
      <c r="G163">
        <v>10</v>
      </c>
      <c r="H163">
        <v>54.45</v>
      </c>
      <c r="I163">
        <v>544.5</v>
      </c>
      <c r="J163">
        <v>16.59</v>
      </c>
      <c r="K163">
        <v>207.91</v>
      </c>
      <c r="L163" t="s">
        <v>20</v>
      </c>
      <c r="M163" t="s">
        <v>21</v>
      </c>
      <c r="N163" t="s">
        <v>30</v>
      </c>
      <c r="O163">
        <f t="shared" si="2"/>
        <v>38.183654729109271</v>
      </c>
    </row>
    <row r="164" spans="1:15" x14ac:dyDescent="0.3">
      <c r="A164" t="s">
        <v>435</v>
      </c>
      <c r="B164" t="s">
        <v>436</v>
      </c>
      <c r="C164" t="s">
        <v>72</v>
      </c>
      <c r="D164" t="s">
        <v>249</v>
      </c>
      <c r="E164" t="s">
        <v>27</v>
      </c>
      <c r="F164" t="s">
        <v>19</v>
      </c>
      <c r="G164">
        <v>46</v>
      </c>
      <c r="H164">
        <v>30.06</v>
      </c>
      <c r="I164">
        <v>1382.76</v>
      </c>
      <c r="J164">
        <v>77.17</v>
      </c>
      <c r="K164">
        <v>477.59</v>
      </c>
      <c r="L164" t="s">
        <v>28</v>
      </c>
      <c r="M164" t="s">
        <v>29</v>
      </c>
      <c r="N164" t="s">
        <v>66</v>
      </c>
      <c r="O164">
        <f t="shared" si="2"/>
        <v>34.538893228036677</v>
      </c>
    </row>
    <row r="165" spans="1:15" x14ac:dyDescent="0.3">
      <c r="A165" t="s">
        <v>437</v>
      </c>
      <c r="B165" t="s">
        <v>84</v>
      </c>
      <c r="C165" t="s">
        <v>438</v>
      </c>
      <c r="D165" t="s">
        <v>53</v>
      </c>
      <c r="E165" t="s">
        <v>69</v>
      </c>
      <c r="F165" t="s">
        <v>59</v>
      </c>
      <c r="G165">
        <v>25</v>
      </c>
      <c r="H165">
        <v>21.52</v>
      </c>
      <c r="I165">
        <v>538</v>
      </c>
      <c r="J165">
        <v>26.73</v>
      </c>
      <c r="K165">
        <v>123.77</v>
      </c>
      <c r="L165" t="s">
        <v>28</v>
      </c>
      <c r="M165" t="s">
        <v>21</v>
      </c>
      <c r="N165" t="s">
        <v>22</v>
      </c>
      <c r="O165">
        <f t="shared" si="2"/>
        <v>23.005576208178439</v>
      </c>
    </row>
    <row r="166" spans="1:15" x14ac:dyDescent="0.3">
      <c r="A166" t="s">
        <v>439</v>
      </c>
      <c r="B166" t="s">
        <v>440</v>
      </c>
      <c r="C166" t="s">
        <v>301</v>
      </c>
      <c r="D166" t="s">
        <v>249</v>
      </c>
      <c r="E166" t="s">
        <v>27</v>
      </c>
      <c r="F166" t="s">
        <v>19</v>
      </c>
      <c r="G166">
        <v>5</v>
      </c>
      <c r="H166">
        <v>26.25</v>
      </c>
      <c r="I166">
        <v>131.25</v>
      </c>
      <c r="J166">
        <v>3.35</v>
      </c>
      <c r="K166">
        <v>37.9</v>
      </c>
      <c r="L166" t="s">
        <v>28</v>
      </c>
      <c r="M166" t="s">
        <v>29</v>
      </c>
      <c r="N166" t="s">
        <v>66</v>
      </c>
      <c r="O166">
        <f t="shared" si="2"/>
        <v>28.876190476190477</v>
      </c>
    </row>
    <row r="167" spans="1:15" x14ac:dyDescent="0.3">
      <c r="A167" t="s">
        <v>441</v>
      </c>
      <c r="B167" t="s">
        <v>247</v>
      </c>
      <c r="C167" t="s">
        <v>442</v>
      </c>
      <c r="D167" t="s">
        <v>26</v>
      </c>
      <c r="E167" t="s">
        <v>64</v>
      </c>
      <c r="F167" t="s">
        <v>65</v>
      </c>
      <c r="G167">
        <v>10</v>
      </c>
      <c r="H167">
        <v>31.48</v>
      </c>
      <c r="I167">
        <v>314.8</v>
      </c>
      <c r="J167">
        <v>10.23</v>
      </c>
      <c r="K167">
        <v>54.57</v>
      </c>
      <c r="L167" t="s">
        <v>42</v>
      </c>
      <c r="M167" t="s">
        <v>35</v>
      </c>
      <c r="N167" t="s">
        <v>30</v>
      </c>
      <c r="O167">
        <f t="shared" si="2"/>
        <v>17.334815756035578</v>
      </c>
    </row>
    <row r="168" spans="1:15" x14ac:dyDescent="0.3">
      <c r="A168" t="s">
        <v>443</v>
      </c>
      <c r="B168" t="s">
        <v>444</v>
      </c>
      <c r="C168" t="s">
        <v>143</v>
      </c>
      <c r="D168" t="s">
        <v>39</v>
      </c>
      <c r="E168" t="s">
        <v>54</v>
      </c>
      <c r="F168" t="s">
        <v>41</v>
      </c>
      <c r="G168">
        <v>21</v>
      </c>
      <c r="H168">
        <v>30.91</v>
      </c>
      <c r="I168">
        <v>649.11</v>
      </c>
      <c r="J168">
        <v>38.42</v>
      </c>
      <c r="K168">
        <v>190.69</v>
      </c>
      <c r="L168" t="s">
        <v>28</v>
      </c>
      <c r="M168" t="s">
        <v>35</v>
      </c>
      <c r="N168" t="s">
        <v>43</v>
      </c>
      <c r="O168">
        <f t="shared" si="2"/>
        <v>29.377147170741473</v>
      </c>
    </row>
    <row r="169" spans="1:15" x14ac:dyDescent="0.3">
      <c r="A169" t="s">
        <v>445</v>
      </c>
      <c r="B169" t="s">
        <v>446</v>
      </c>
      <c r="C169" t="s">
        <v>447</v>
      </c>
      <c r="D169" t="s">
        <v>82</v>
      </c>
      <c r="E169" t="s">
        <v>73</v>
      </c>
      <c r="F169" t="s">
        <v>41</v>
      </c>
      <c r="G169">
        <v>29</v>
      </c>
      <c r="H169">
        <v>18.47</v>
      </c>
      <c r="I169">
        <v>535.63</v>
      </c>
      <c r="J169">
        <v>13.21</v>
      </c>
      <c r="K169">
        <v>152.66999999999999</v>
      </c>
      <c r="L169" t="s">
        <v>20</v>
      </c>
      <c r="M169" t="s">
        <v>21</v>
      </c>
      <c r="N169" t="s">
        <v>66</v>
      </c>
      <c r="O169">
        <f t="shared" si="2"/>
        <v>28.50288445382073</v>
      </c>
    </row>
    <row r="170" spans="1:15" x14ac:dyDescent="0.3">
      <c r="A170" t="s">
        <v>448</v>
      </c>
      <c r="B170" t="s">
        <v>449</v>
      </c>
      <c r="C170" t="s">
        <v>151</v>
      </c>
      <c r="D170" t="s">
        <v>53</v>
      </c>
      <c r="E170" t="s">
        <v>18</v>
      </c>
      <c r="F170" t="s">
        <v>19</v>
      </c>
      <c r="G170">
        <v>36</v>
      </c>
      <c r="H170">
        <v>44.79</v>
      </c>
      <c r="I170">
        <v>1612.44</v>
      </c>
      <c r="J170">
        <v>68.599999999999994</v>
      </c>
      <c r="K170">
        <v>283.83999999999997</v>
      </c>
      <c r="L170" t="s">
        <v>42</v>
      </c>
      <c r="M170" t="s">
        <v>29</v>
      </c>
      <c r="N170" t="s">
        <v>22</v>
      </c>
      <c r="O170">
        <f t="shared" si="2"/>
        <v>17.603135620550219</v>
      </c>
    </row>
    <row r="171" spans="1:15" x14ac:dyDescent="0.3">
      <c r="A171" t="s">
        <v>450</v>
      </c>
      <c r="B171" t="s">
        <v>451</v>
      </c>
      <c r="C171" t="s">
        <v>452</v>
      </c>
      <c r="D171" t="s">
        <v>39</v>
      </c>
      <c r="E171" t="s">
        <v>69</v>
      </c>
      <c r="F171" t="s">
        <v>59</v>
      </c>
      <c r="G171">
        <v>3</v>
      </c>
      <c r="H171">
        <v>18.86</v>
      </c>
      <c r="I171">
        <v>56.58</v>
      </c>
      <c r="J171">
        <v>2.61</v>
      </c>
      <c r="K171">
        <v>7.47</v>
      </c>
      <c r="L171" t="s">
        <v>28</v>
      </c>
      <c r="M171" t="s">
        <v>35</v>
      </c>
      <c r="N171" t="s">
        <v>43</v>
      </c>
      <c r="O171">
        <f t="shared" si="2"/>
        <v>13.20254506892895</v>
      </c>
    </row>
    <row r="172" spans="1:15" x14ac:dyDescent="0.3">
      <c r="A172" t="s">
        <v>453</v>
      </c>
      <c r="B172" t="s">
        <v>278</v>
      </c>
      <c r="C172" t="s">
        <v>57</v>
      </c>
      <c r="D172" t="s">
        <v>63</v>
      </c>
      <c r="E172" t="s">
        <v>103</v>
      </c>
      <c r="F172" t="s">
        <v>59</v>
      </c>
      <c r="G172">
        <v>10</v>
      </c>
      <c r="H172">
        <v>45.86</v>
      </c>
      <c r="I172">
        <v>458.6</v>
      </c>
      <c r="J172">
        <v>14.4</v>
      </c>
      <c r="K172">
        <v>164.2</v>
      </c>
      <c r="L172" t="s">
        <v>42</v>
      </c>
      <c r="M172" t="s">
        <v>21</v>
      </c>
      <c r="N172" t="s">
        <v>66</v>
      </c>
      <c r="O172">
        <f t="shared" si="2"/>
        <v>35.804622764936759</v>
      </c>
    </row>
    <row r="173" spans="1:15" x14ac:dyDescent="0.3">
      <c r="A173" t="s">
        <v>454</v>
      </c>
      <c r="B173" t="s">
        <v>455</v>
      </c>
      <c r="C173" t="s">
        <v>452</v>
      </c>
      <c r="D173" t="s">
        <v>34</v>
      </c>
      <c r="E173" t="s">
        <v>27</v>
      </c>
      <c r="F173" t="s">
        <v>19</v>
      </c>
      <c r="G173">
        <v>1</v>
      </c>
      <c r="H173">
        <v>24.64</v>
      </c>
      <c r="I173">
        <v>24.64</v>
      </c>
      <c r="J173">
        <v>0.65</v>
      </c>
      <c r="K173">
        <v>5.99</v>
      </c>
      <c r="L173" t="s">
        <v>42</v>
      </c>
      <c r="M173" t="s">
        <v>29</v>
      </c>
      <c r="N173" t="s">
        <v>30</v>
      </c>
      <c r="O173">
        <f t="shared" si="2"/>
        <v>24.310064935064936</v>
      </c>
    </row>
    <row r="174" spans="1:15" x14ac:dyDescent="0.3">
      <c r="A174" t="s">
        <v>456</v>
      </c>
      <c r="B174" t="s">
        <v>314</v>
      </c>
      <c r="C174" t="s">
        <v>212</v>
      </c>
      <c r="D174" t="s">
        <v>34</v>
      </c>
      <c r="E174" t="s">
        <v>69</v>
      </c>
      <c r="F174" t="s">
        <v>59</v>
      </c>
      <c r="G174">
        <v>49</v>
      </c>
      <c r="H174">
        <v>22.8</v>
      </c>
      <c r="I174">
        <v>1117.2</v>
      </c>
      <c r="J174">
        <v>51.06</v>
      </c>
      <c r="K174">
        <v>306.64</v>
      </c>
      <c r="L174" t="s">
        <v>20</v>
      </c>
      <c r="M174" t="s">
        <v>29</v>
      </c>
      <c r="N174" t="s">
        <v>30</v>
      </c>
      <c r="O174">
        <f t="shared" si="2"/>
        <v>27.447189402076617</v>
      </c>
    </row>
    <row r="175" spans="1:15" x14ac:dyDescent="0.3">
      <c r="A175" t="s">
        <v>457</v>
      </c>
      <c r="B175" t="s">
        <v>458</v>
      </c>
      <c r="C175" t="s">
        <v>274</v>
      </c>
      <c r="D175" t="s">
        <v>53</v>
      </c>
      <c r="E175" t="s">
        <v>18</v>
      </c>
      <c r="F175" t="s">
        <v>19</v>
      </c>
      <c r="G175">
        <v>32</v>
      </c>
      <c r="H175">
        <v>44.5</v>
      </c>
      <c r="I175">
        <v>1424</v>
      </c>
      <c r="J175">
        <v>43.92</v>
      </c>
      <c r="K175">
        <v>260.08</v>
      </c>
      <c r="L175" t="s">
        <v>42</v>
      </c>
      <c r="M175" t="s">
        <v>29</v>
      </c>
      <c r="N175" t="s">
        <v>22</v>
      </c>
      <c r="O175">
        <f t="shared" si="2"/>
        <v>18.264044943820224</v>
      </c>
    </row>
    <row r="176" spans="1:15" x14ac:dyDescent="0.3">
      <c r="A176" t="s">
        <v>459</v>
      </c>
      <c r="B176" t="s">
        <v>460</v>
      </c>
      <c r="C176" t="s">
        <v>298</v>
      </c>
      <c r="D176" t="s">
        <v>39</v>
      </c>
      <c r="E176" t="s">
        <v>18</v>
      </c>
      <c r="F176" t="s">
        <v>19</v>
      </c>
      <c r="G176">
        <v>43</v>
      </c>
      <c r="H176">
        <v>55.74</v>
      </c>
      <c r="I176">
        <v>2396.8200000000002</v>
      </c>
      <c r="J176">
        <v>63.85</v>
      </c>
      <c r="K176">
        <v>827.97</v>
      </c>
      <c r="L176" t="s">
        <v>28</v>
      </c>
      <c r="M176" t="s">
        <v>35</v>
      </c>
      <c r="N176" t="s">
        <v>43</v>
      </c>
      <c r="O176">
        <f t="shared" si="2"/>
        <v>34.544521490975541</v>
      </c>
    </row>
    <row r="177" spans="1:15" x14ac:dyDescent="0.3">
      <c r="A177" t="s">
        <v>461</v>
      </c>
      <c r="B177" t="s">
        <v>462</v>
      </c>
      <c r="C177" t="s">
        <v>136</v>
      </c>
      <c r="D177" t="s">
        <v>82</v>
      </c>
      <c r="E177" t="s">
        <v>69</v>
      </c>
      <c r="F177" t="s">
        <v>59</v>
      </c>
      <c r="G177">
        <v>19</v>
      </c>
      <c r="H177">
        <v>25.78</v>
      </c>
      <c r="I177">
        <v>489.82</v>
      </c>
      <c r="J177">
        <v>28.4</v>
      </c>
      <c r="K177">
        <v>166.92</v>
      </c>
      <c r="L177" t="s">
        <v>42</v>
      </c>
      <c r="M177" t="s">
        <v>29</v>
      </c>
      <c r="N177" t="s">
        <v>66</v>
      </c>
      <c r="O177">
        <f t="shared" si="2"/>
        <v>34.07782450696174</v>
      </c>
    </row>
    <row r="178" spans="1:15" x14ac:dyDescent="0.3">
      <c r="A178" t="s">
        <v>463</v>
      </c>
      <c r="B178" t="s">
        <v>464</v>
      </c>
      <c r="C178" t="s">
        <v>358</v>
      </c>
      <c r="D178" t="s">
        <v>53</v>
      </c>
      <c r="E178" t="s">
        <v>27</v>
      </c>
      <c r="F178" t="s">
        <v>19</v>
      </c>
      <c r="G178">
        <v>43</v>
      </c>
      <c r="H178">
        <v>30.43</v>
      </c>
      <c r="I178">
        <v>1308.49</v>
      </c>
      <c r="J178">
        <v>35.340000000000003</v>
      </c>
      <c r="K178">
        <v>499.15</v>
      </c>
      <c r="L178" t="s">
        <v>28</v>
      </c>
      <c r="M178" t="s">
        <v>29</v>
      </c>
      <c r="N178" t="s">
        <v>22</v>
      </c>
      <c r="O178">
        <f t="shared" si="2"/>
        <v>38.147024432743081</v>
      </c>
    </row>
    <row r="179" spans="1:15" x14ac:dyDescent="0.3">
      <c r="A179" t="s">
        <v>465</v>
      </c>
      <c r="B179" t="s">
        <v>421</v>
      </c>
      <c r="C179" t="s">
        <v>466</v>
      </c>
      <c r="D179" t="s">
        <v>137</v>
      </c>
      <c r="E179" t="s">
        <v>69</v>
      </c>
      <c r="F179" t="s">
        <v>59</v>
      </c>
      <c r="G179">
        <v>17</v>
      </c>
      <c r="H179">
        <v>18.71</v>
      </c>
      <c r="I179">
        <v>318.07</v>
      </c>
      <c r="J179">
        <v>22.03</v>
      </c>
      <c r="K179">
        <v>32.54</v>
      </c>
      <c r="L179" t="s">
        <v>42</v>
      </c>
      <c r="M179" t="s">
        <v>21</v>
      </c>
      <c r="N179" t="s">
        <v>30</v>
      </c>
      <c r="O179">
        <f t="shared" si="2"/>
        <v>10.230452416134813</v>
      </c>
    </row>
    <row r="180" spans="1:15" x14ac:dyDescent="0.3">
      <c r="A180" t="s">
        <v>467</v>
      </c>
      <c r="B180" t="s">
        <v>234</v>
      </c>
      <c r="C180" t="s">
        <v>46</v>
      </c>
      <c r="D180" t="s">
        <v>63</v>
      </c>
      <c r="E180" t="s">
        <v>69</v>
      </c>
      <c r="F180" t="s">
        <v>59</v>
      </c>
      <c r="G180">
        <v>44</v>
      </c>
      <c r="H180">
        <v>23.87</v>
      </c>
      <c r="I180">
        <v>1050.28</v>
      </c>
      <c r="J180">
        <v>33.51</v>
      </c>
      <c r="K180">
        <v>334.77</v>
      </c>
      <c r="L180" t="s">
        <v>20</v>
      </c>
      <c r="M180" t="s">
        <v>29</v>
      </c>
      <c r="N180" t="s">
        <v>66</v>
      </c>
      <c r="O180">
        <f t="shared" si="2"/>
        <v>31.874357314240008</v>
      </c>
    </row>
    <row r="181" spans="1:15" x14ac:dyDescent="0.3">
      <c r="A181" t="s">
        <v>468</v>
      </c>
      <c r="B181" t="s">
        <v>469</v>
      </c>
      <c r="C181" t="s">
        <v>160</v>
      </c>
      <c r="D181" t="s">
        <v>172</v>
      </c>
      <c r="E181" t="s">
        <v>40</v>
      </c>
      <c r="F181" t="s">
        <v>41</v>
      </c>
      <c r="G181">
        <v>12</v>
      </c>
      <c r="H181">
        <v>42.91</v>
      </c>
      <c r="I181">
        <v>514.91999999999996</v>
      </c>
      <c r="J181">
        <v>15.18</v>
      </c>
      <c r="K181">
        <v>115.74</v>
      </c>
      <c r="L181" t="s">
        <v>42</v>
      </c>
      <c r="M181" t="s">
        <v>35</v>
      </c>
      <c r="N181" t="s">
        <v>173</v>
      </c>
      <c r="O181">
        <f t="shared" si="2"/>
        <v>22.477278023770683</v>
      </c>
    </row>
    <row r="182" spans="1:15" x14ac:dyDescent="0.3">
      <c r="A182" t="s">
        <v>470</v>
      </c>
      <c r="B182" t="s">
        <v>471</v>
      </c>
      <c r="C182" t="s">
        <v>472</v>
      </c>
      <c r="D182" t="s">
        <v>249</v>
      </c>
      <c r="E182" t="s">
        <v>48</v>
      </c>
      <c r="F182" t="s">
        <v>49</v>
      </c>
      <c r="G182">
        <v>21</v>
      </c>
      <c r="H182">
        <v>50.49</v>
      </c>
      <c r="I182">
        <v>1060.29</v>
      </c>
      <c r="J182">
        <v>32.340000000000003</v>
      </c>
      <c r="K182">
        <v>187.95</v>
      </c>
      <c r="L182" t="s">
        <v>42</v>
      </c>
      <c r="M182" t="s">
        <v>21</v>
      </c>
      <c r="N182" t="s">
        <v>66</v>
      </c>
      <c r="O182">
        <f t="shared" si="2"/>
        <v>17.726282432164783</v>
      </c>
    </row>
    <row r="183" spans="1:15" x14ac:dyDescent="0.3">
      <c r="A183" t="s">
        <v>473</v>
      </c>
      <c r="B183" t="s">
        <v>421</v>
      </c>
      <c r="C183" t="s">
        <v>274</v>
      </c>
      <c r="D183" t="s">
        <v>34</v>
      </c>
      <c r="E183" t="s">
        <v>18</v>
      </c>
      <c r="F183" t="s">
        <v>19</v>
      </c>
      <c r="G183">
        <v>41</v>
      </c>
      <c r="H183">
        <v>43.18</v>
      </c>
      <c r="I183">
        <v>1770.38</v>
      </c>
      <c r="J183">
        <v>128.4</v>
      </c>
      <c r="K183">
        <v>206.98</v>
      </c>
      <c r="L183" t="s">
        <v>28</v>
      </c>
      <c r="M183" t="s">
        <v>35</v>
      </c>
      <c r="N183" t="s">
        <v>30</v>
      </c>
      <c r="O183">
        <f t="shared" si="2"/>
        <v>11.691275319422948</v>
      </c>
    </row>
    <row r="184" spans="1:15" x14ac:dyDescent="0.3">
      <c r="A184" t="s">
        <v>474</v>
      </c>
      <c r="B184" t="s">
        <v>475</v>
      </c>
      <c r="C184" t="s">
        <v>128</v>
      </c>
      <c r="D184" t="s">
        <v>172</v>
      </c>
      <c r="E184" t="s">
        <v>73</v>
      </c>
      <c r="F184" t="s">
        <v>41</v>
      </c>
      <c r="G184">
        <v>37</v>
      </c>
      <c r="H184">
        <v>19.8</v>
      </c>
      <c r="I184">
        <v>732.6</v>
      </c>
      <c r="J184">
        <v>54.68</v>
      </c>
      <c r="K184">
        <v>206.17</v>
      </c>
      <c r="L184" t="s">
        <v>20</v>
      </c>
      <c r="M184" t="s">
        <v>29</v>
      </c>
      <c r="N184" t="s">
        <v>173</v>
      </c>
      <c r="O184">
        <f t="shared" si="2"/>
        <v>28.142233142233142</v>
      </c>
    </row>
    <row r="185" spans="1:15" x14ac:dyDescent="0.3">
      <c r="A185" t="s">
        <v>476</v>
      </c>
      <c r="B185" t="s">
        <v>477</v>
      </c>
      <c r="C185" t="s">
        <v>478</v>
      </c>
      <c r="D185" t="s">
        <v>53</v>
      </c>
      <c r="E185" t="s">
        <v>73</v>
      </c>
      <c r="F185" t="s">
        <v>41</v>
      </c>
      <c r="G185">
        <v>4</v>
      </c>
      <c r="H185">
        <v>18.059999999999999</v>
      </c>
      <c r="I185">
        <v>72.239999999999995</v>
      </c>
      <c r="J185">
        <v>4.66</v>
      </c>
      <c r="K185">
        <v>16.579999999999998</v>
      </c>
      <c r="L185" t="s">
        <v>20</v>
      </c>
      <c r="M185" t="s">
        <v>21</v>
      </c>
      <c r="N185" t="s">
        <v>22</v>
      </c>
      <c r="O185">
        <f t="shared" si="2"/>
        <v>22.951273532668882</v>
      </c>
    </row>
    <row r="186" spans="1:15" x14ac:dyDescent="0.3">
      <c r="A186" t="s">
        <v>479</v>
      </c>
      <c r="B186" t="s">
        <v>379</v>
      </c>
      <c r="C186" t="s">
        <v>358</v>
      </c>
      <c r="D186" t="s">
        <v>17</v>
      </c>
      <c r="E186" t="s">
        <v>18</v>
      </c>
      <c r="F186" t="s">
        <v>19</v>
      </c>
      <c r="G186">
        <v>40</v>
      </c>
      <c r="H186">
        <v>55.59</v>
      </c>
      <c r="I186">
        <v>2223.6</v>
      </c>
      <c r="J186">
        <v>74.569999999999993</v>
      </c>
      <c r="K186">
        <v>749.03</v>
      </c>
      <c r="L186" t="s">
        <v>20</v>
      </c>
      <c r="M186" t="s">
        <v>21</v>
      </c>
      <c r="N186" t="s">
        <v>22</v>
      </c>
      <c r="O186">
        <f t="shared" si="2"/>
        <v>33.685465011692749</v>
      </c>
    </row>
    <row r="187" spans="1:15" x14ac:dyDescent="0.3">
      <c r="A187" t="s">
        <v>480</v>
      </c>
      <c r="B187" t="s">
        <v>294</v>
      </c>
      <c r="C187" t="s">
        <v>16</v>
      </c>
      <c r="D187" t="s">
        <v>93</v>
      </c>
      <c r="E187" t="s">
        <v>64</v>
      </c>
      <c r="F187" t="s">
        <v>65</v>
      </c>
      <c r="G187">
        <v>5</v>
      </c>
      <c r="H187">
        <v>31.58</v>
      </c>
      <c r="I187">
        <v>157.9</v>
      </c>
      <c r="J187">
        <v>3.73</v>
      </c>
      <c r="K187">
        <v>29.17</v>
      </c>
      <c r="L187" t="s">
        <v>20</v>
      </c>
      <c r="M187" t="s">
        <v>29</v>
      </c>
      <c r="N187" t="s">
        <v>66</v>
      </c>
      <c r="O187">
        <f t="shared" si="2"/>
        <v>18.473717542748574</v>
      </c>
    </row>
    <row r="188" spans="1:15" x14ac:dyDescent="0.3">
      <c r="A188" t="s">
        <v>481</v>
      </c>
      <c r="B188" t="s">
        <v>482</v>
      </c>
      <c r="C188" t="s">
        <v>154</v>
      </c>
      <c r="D188" t="s">
        <v>47</v>
      </c>
      <c r="E188" t="s">
        <v>27</v>
      </c>
      <c r="F188" t="s">
        <v>19</v>
      </c>
      <c r="G188">
        <v>50</v>
      </c>
      <c r="H188">
        <v>26.67</v>
      </c>
      <c r="I188">
        <v>1333.5</v>
      </c>
      <c r="J188">
        <v>80.150000000000006</v>
      </c>
      <c r="K188">
        <v>353.35</v>
      </c>
      <c r="L188" t="s">
        <v>42</v>
      </c>
      <c r="M188" t="s">
        <v>21</v>
      </c>
      <c r="N188" t="s">
        <v>22</v>
      </c>
      <c r="O188">
        <f t="shared" si="2"/>
        <v>26.497937757780278</v>
      </c>
    </row>
    <row r="189" spans="1:15" x14ac:dyDescent="0.3">
      <c r="A189" t="s">
        <v>483</v>
      </c>
      <c r="B189" t="s">
        <v>484</v>
      </c>
      <c r="C189" t="s">
        <v>319</v>
      </c>
      <c r="D189" t="s">
        <v>82</v>
      </c>
      <c r="E189" t="s">
        <v>69</v>
      </c>
      <c r="F189" t="s">
        <v>59</v>
      </c>
      <c r="G189">
        <v>17</v>
      </c>
      <c r="H189">
        <v>20.68</v>
      </c>
      <c r="I189">
        <v>351.56</v>
      </c>
      <c r="J189">
        <v>18.47</v>
      </c>
      <c r="K189">
        <v>69.59</v>
      </c>
      <c r="L189" t="s">
        <v>42</v>
      </c>
      <c r="M189" t="s">
        <v>29</v>
      </c>
      <c r="N189" t="s">
        <v>66</v>
      </c>
      <c r="O189">
        <f t="shared" si="2"/>
        <v>19.79462965069974</v>
      </c>
    </row>
    <row r="190" spans="1:15" x14ac:dyDescent="0.3">
      <c r="A190" t="s">
        <v>485</v>
      </c>
      <c r="B190" t="s">
        <v>225</v>
      </c>
      <c r="C190" t="s">
        <v>407</v>
      </c>
      <c r="D190" t="s">
        <v>107</v>
      </c>
      <c r="E190" t="s">
        <v>18</v>
      </c>
      <c r="F190" t="s">
        <v>19</v>
      </c>
      <c r="G190">
        <v>29</v>
      </c>
      <c r="H190">
        <v>55.19</v>
      </c>
      <c r="I190">
        <v>1600.51</v>
      </c>
      <c r="J190">
        <v>103.06</v>
      </c>
      <c r="K190">
        <v>482.45</v>
      </c>
      <c r="L190" t="s">
        <v>20</v>
      </c>
      <c r="M190" t="s">
        <v>35</v>
      </c>
      <c r="N190" t="s">
        <v>108</v>
      </c>
      <c r="O190">
        <f t="shared" si="2"/>
        <v>30.14351675403465</v>
      </c>
    </row>
    <row r="191" spans="1:15" x14ac:dyDescent="0.3">
      <c r="A191" t="s">
        <v>486</v>
      </c>
      <c r="B191" t="s">
        <v>487</v>
      </c>
      <c r="C191" t="s">
        <v>488</v>
      </c>
      <c r="D191" t="s">
        <v>82</v>
      </c>
      <c r="E191" t="s">
        <v>18</v>
      </c>
      <c r="F191" t="s">
        <v>19</v>
      </c>
      <c r="G191">
        <v>34</v>
      </c>
      <c r="H191">
        <v>61.62</v>
      </c>
      <c r="I191">
        <v>2095.08</v>
      </c>
      <c r="J191">
        <v>80.13</v>
      </c>
      <c r="K191">
        <v>824.95</v>
      </c>
      <c r="L191" t="s">
        <v>28</v>
      </c>
      <c r="M191" t="s">
        <v>21</v>
      </c>
      <c r="N191" t="s">
        <v>66</v>
      </c>
      <c r="O191">
        <f t="shared" si="2"/>
        <v>39.375584703209427</v>
      </c>
    </row>
    <row r="192" spans="1:15" x14ac:dyDescent="0.3">
      <c r="A192" t="s">
        <v>489</v>
      </c>
      <c r="B192" t="s">
        <v>273</v>
      </c>
      <c r="C192" t="s">
        <v>243</v>
      </c>
      <c r="D192" t="s">
        <v>53</v>
      </c>
      <c r="E192" t="s">
        <v>58</v>
      </c>
      <c r="F192" t="s">
        <v>59</v>
      </c>
      <c r="G192">
        <v>10</v>
      </c>
      <c r="H192">
        <v>40.03</v>
      </c>
      <c r="I192">
        <v>400.3</v>
      </c>
      <c r="J192">
        <v>25.8</v>
      </c>
      <c r="K192">
        <v>149.5</v>
      </c>
      <c r="L192" t="s">
        <v>42</v>
      </c>
      <c r="M192" t="s">
        <v>21</v>
      </c>
      <c r="N192" t="s">
        <v>22</v>
      </c>
      <c r="O192">
        <f t="shared" si="2"/>
        <v>37.34698975768174</v>
      </c>
    </row>
    <row r="193" spans="1:15" x14ac:dyDescent="0.3">
      <c r="A193" t="s">
        <v>490</v>
      </c>
      <c r="B193" t="s">
        <v>491</v>
      </c>
      <c r="C193" t="s">
        <v>100</v>
      </c>
      <c r="D193" t="s">
        <v>89</v>
      </c>
      <c r="E193" t="s">
        <v>54</v>
      </c>
      <c r="F193" t="s">
        <v>41</v>
      </c>
      <c r="G193">
        <v>23</v>
      </c>
      <c r="H193">
        <v>31.3</v>
      </c>
      <c r="I193">
        <v>719.9</v>
      </c>
      <c r="J193">
        <v>47.88</v>
      </c>
      <c r="K193">
        <v>212.02</v>
      </c>
      <c r="L193" t="s">
        <v>28</v>
      </c>
      <c r="M193" t="s">
        <v>29</v>
      </c>
      <c r="N193" t="s">
        <v>66</v>
      </c>
      <c r="O193">
        <f t="shared" si="2"/>
        <v>29.451312682316992</v>
      </c>
    </row>
    <row r="194" spans="1:15" x14ac:dyDescent="0.3">
      <c r="A194" t="s">
        <v>492</v>
      </c>
      <c r="B194" t="s">
        <v>61</v>
      </c>
      <c r="C194" t="s">
        <v>114</v>
      </c>
      <c r="D194" t="s">
        <v>53</v>
      </c>
      <c r="E194" t="s">
        <v>18</v>
      </c>
      <c r="F194" t="s">
        <v>19</v>
      </c>
      <c r="G194">
        <v>37</v>
      </c>
      <c r="H194">
        <v>50.39</v>
      </c>
      <c r="I194">
        <v>1864.43</v>
      </c>
      <c r="J194">
        <v>60.06</v>
      </c>
      <c r="K194">
        <v>509.37</v>
      </c>
      <c r="L194" t="s">
        <v>28</v>
      </c>
      <c r="M194" t="s">
        <v>29</v>
      </c>
      <c r="N194" t="s">
        <v>22</v>
      </c>
      <c r="O194">
        <f t="shared" si="2"/>
        <v>27.320414282113031</v>
      </c>
    </row>
    <row r="195" spans="1:15" x14ac:dyDescent="0.3">
      <c r="A195" t="s">
        <v>493</v>
      </c>
      <c r="B195" t="s">
        <v>494</v>
      </c>
      <c r="C195" t="s">
        <v>409</v>
      </c>
      <c r="D195" t="s">
        <v>17</v>
      </c>
      <c r="E195" t="s">
        <v>73</v>
      </c>
      <c r="F195" t="s">
        <v>41</v>
      </c>
      <c r="G195">
        <v>38</v>
      </c>
      <c r="H195">
        <v>16.97</v>
      </c>
      <c r="I195">
        <v>644.86</v>
      </c>
      <c r="J195">
        <v>40</v>
      </c>
      <c r="K195">
        <v>120.36</v>
      </c>
      <c r="L195" t="s">
        <v>42</v>
      </c>
      <c r="M195" t="s">
        <v>21</v>
      </c>
      <c r="N195" t="s">
        <v>22</v>
      </c>
      <c r="O195">
        <f t="shared" ref="O195:O258" si="3">K195/I195*100</f>
        <v>18.664516329125703</v>
      </c>
    </row>
    <row r="196" spans="1:15" x14ac:dyDescent="0.3">
      <c r="A196" t="s">
        <v>495</v>
      </c>
      <c r="B196" t="s">
        <v>375</v>
      </c>
      <c r="C196" t="s">
        <v>295</v>
      </c>
      <c r="D196" t="s">
        <v>107</v>
      </c>
      <c r="E196" t="s">
        <v>54</v>
      </c>
      <c r="F196" t="s">
        <v>41</v>
      </c>
      <c r="G196">
        <v>2</v>
      </c>
      <c r="H196">
        <v>35.92</v>
      </c>
      <c r="I196">
        <v>71.84</v>
      </c>
      <c r="J196">
        <v>2.34</v>
      </c>
      <c r="K196">
        <v>29.5</v>
      </c>
      <c r="L196" t="s">
        <v>42</v>
      </c>
      <c r="M196" t="s">
        <v>29</v>
      </c>
      <c r="N196" t="s">
        <v>108</v>
      </c>
      <c r="O196">
        <f t="shared" si="3"/>
        <v>41.06347438752784</v>
      </c>
    </row>
    <row r="197" spans="1:15" x14ac:dyDescent="0.3">
      <c r="A197" t="s">
        <v>496</v>
      </c>
      <c r="B197" t="s">
        <v>497</v>
      </c>
      <c r="C197" t="s">
        <v>72</v>
      </c>
      <c r="D197" t="s">
        <v>39</v>
      </c>
      <c r="E197" t="s">
        <v>54</v>
      </c>
      <c r="F197" t="s">
        <v>41</v>
      </c>
      <c r="G197">
        <v>48</v>
      </c>
      <c r="H197">
        <v>31.87</v>
      </c>
      <c r="I197">
        <v>1529.76</v>
      </c>
      <c r="J197">
        <v>89.85</v>
      </c>
      <c r="K197">
        <v>479.91</v>
      </c>
      <c r="L197" t="s">
        <v>42</v>
      </c>
      <c r="M197" t="s">
        <v>21</v>
      </c>
      <c r="N197" t="s">
        <v>43</v>
      </c>
      <c r="O197">
        <f t="shared" si="3"/>
        <v>31.371587700031377</v>
      </c>
    </row>
    <row r="198" spans="1:15" x14ac:dyDescent="0.3">
      <c r="A198" t="s">
        <v>498</v>
      </c>
      <c r="B198" t="s">
        <v>499</v>
      </c>
      <c r="C198" t="s">
        <v>319</v>
      </c>
      <c r="D198" t="s">
        <v>172</v>
      </c>
      <c r="E198" t="s">
        <v>48</v>
      </c>
      <c r="F198" t="s">
        <v>49</v>
      </c>
      <c r="G198">
        <v>46</v>
      </c>
      <c r="H198">
        <v>70</v>
      </c>
      <c r="I198">
        <v>3220</v>
      </c>
      <c r="J198">
        <v>160.11000000000001</v>
      </c>
      <c r="K198">
        <v>1219.8900000000001</v>
      </c>
      <c r="L198" t="s">
        <v>28</v>
      </c>
      <c r="M198" t="s">
        <v>29</v>
      </c>
      <c r="N198" t="s">
        <v>173</v>
      </c>
      <c r="O198">
        <f t="shared" si="3"/>
        <v>37.884782608695659</v>
      </c>
    </row>
    <row r="199" spans="1:15" x14ac:dyDescent="0.3">
      <c r="A199" t="s">
        <v>500</v>
      </c>
      <c r="B199" t="s">
        <v>501</v>
      </c>
      <c r="C199" t="s">
        <v>447</v>
      </c>
      <c r="D199" t="s">
        <v>82</v>
      </c>
      <c r="E199" t="s">
        <v>18</v>
      </c>
      <c r="F199" t="s">
        <v>19</v>
      </c>
      <c r="G199">
        <v>45</v>
      </c>
      <c r="H199">
        <v>57.7</v>
      </c>
      <c r="I199">
        <v>2596.5</v>
      </c>
      <c r="J199">
        <v>102.52</v>
      </c>
      <c r="K199">
        <v>918.98</v>
      </c>
      <c r="L199" t="s">
        <v>28</v>
      </c>
      <c r="M199" t="s">
        <v>21</v>
      </c>
      <c r="N199" t="s">
        <v>66</v>
      </c>
      <c r="O199">
        <f t="shared" si="3"/>
        <v>35.393029077604474</v>
      </c>
    </row>
    <row r="200" spans="1:15" x14ac:dyDescent="0.3">
      <c r="A200" t="s">
        <v>502</v>
      </c>
      <c r="B200" t="s">
        <v>503</v>
      </c>
      <c r="C200" t="s">
        <v>157</v>
      </c>
      <c r="D200" t="s">
        <v>93</v>
      </c>
      <c r="E200" t="s">
        <v>73</v>
      </c>
      <c r="F200" t="s">
        <v>41</v>
      </c>
      <c r="G200">
        <v>23</v>
      </c>
      <c r="H200">
        <v>20.23</v>
      </c>
      <c r="I200">
        <v>465.29</v>
      </c>
      <c r="J200">
        <v>17.29</v>
      </c>
      <c r="K200">
        <v>154.75</v>
      </c>
      <c r="L200" t="s">
        <v>42</v>
      </c>
      <c r="M200" t="s">
        <v>21</v>
      </c>
      <c r="N200" t="s">
        <v>66</v>
      </c>
      <c r="O200">
        <f t="shared" si="3"/>
        <v>33.258827827806314</v>
      </c>
    </row>
    <row r="201" spans="1:15" x14ac:dyDescent="0.3">
      <c r="A201" t="s">
        <v>504</v>
      </c>
      <c r="B201" t="s">
        <v>190</v>
      </c>
      <c r="C201" t="s">
        <v>160</v>
      </c>
      <c r="D201" t="s">
        <v>34</v>
      </c>
      <c r="E201" t="s">
        <v>27</v>
      </c>
      <c r="F201" t="s">
        <v>19</v>
      </c>
      <c r="G201">
        <v>10</v>
      </c>
      <c r="H201">
        <v>22.96</v>
      </c>
      <c r="I201">
        <v>229.6</v>
      </c>
      <c r="J201">
        <v>18.260000000000002</v>
      </c>
      <c r="K201">
        <v>31.34</v>
      </c>
      <c r="L201" t="s">
        <v>20</v>
      </c>
      <c r="M201" t="s">
        <v>35</v>
      </c>
      <c r="N201" t="s">
        <v>30</v>
      </c>
      <c r="O201">
        <f t="shared" si="3"/>
        <v>13.649825783972124</v>
      </c>
    </row>
    <row r="202" spans="1:15" x14ac:dyDescent="0.3">
      <c r="A202" t="s">
        <v>505</v>
      </c>
      <c r="B202" t="s">
        <v>460</v>
      </c>
      <c r="C202" t="s">
        <v>506</v>
      </c>
      <c r="D202" t="s">
        <v>39</v>
      </c>
      <c r="E202" t="s">
        <v>18</v>
      </c>
      <c r="F202" t="s">
        <v>19</v>
      </c>
      <c r="G202">
        <v>40</v>
      </c>
      <c r="H202">
        <v>54.84</v>
      </c>
      <c r="I202">
        <v>2193.6</v>
      </c>
      <c r="J202">
        <v>89.26</v>
      </c>
      <c r="K202">
        <v>704.34</v>
      </c>
      <c r="L202" t="s">
        <v>28</v>
      </c>
      <c r="M202" t="s">
        <v>21</v>
      </c>
      <c r="N202" t="s">
        <v>43</v>
      </c>
      <c r="O202">
        <f t="shared" si="3"/>
        <v>32.108862144420137</v>
      </c>
    </row>
    <row r="203" spans="1:15" x14ac:dyDescent="0.3">
      <c r="A203" t="s">
        <v>507</v>
      </c>
      <c r="B203" t="s">
        <v>508</v>
      </c>
      <c r="C203" t="s">
        <v>232</v>
      </c>
      <c r="D203" t="s">
        <v>82</v>
      </c>
      <c r="E203" t="s">
        <v>64</v>
      </c>
      <c r="F203" t="s">
        <v>65</v>
      </c>
      <c r="G203">
        <v>7</v>
      </c>
      <c r="H203">
        <v>36.43</v>
      </c>
      <c r="I203">
        <v>255.01</v>
      </c>
      <c r="J203">
        <v>6.3</v>
      </c>
      <c r="K203">
        <v>73.709999999999994</v>
      </c>
      <c r="L203" t="s">
        <v>20</v>
      </c>
      <c r="M203" t="s">
        <v>29</v>
      </c>
      <c r="N203" t="s">
        <v>66</v>
      </c>
      <c r="O203">
        <f t="shared" si="3"/>
        <v>28.904748833379081</v>
      </c>
    </row>
    <row r="204" spans="1:15" x14ac:dyDescent="0.3">
      <c r="A204" t="s">
        <v>509</v>
      </c>
      <c r="B204" t="s">
        <v>510</v>
      </c>
      <c r="C204" t="s">
        <v>295</v>
      </c>
      <c r="D204" t="s">
        <v>53</v>
      </c>
      <c r="E204" t="s">
        <v>73</v>
      </c>
      <c r="F204" t="s">
        <v>41</v>
      </c>
      <c r="G204">
        <v>39</v>
      </c>
      <c r="H204">
        <v>19.48</v>
      </c>
      <c r="I204">
        <v>759.72</v>
      </c>
      <c r="J204">
        <v>40.090000000000003</v>
      </c>
      <c r="K204">
        <v>222.38</v>
      </c>
      <c r="L204" t="s">
        <v>42</v>
      </c>
      <c r="M204" t="s">
        <v>29</v>
      </c>
      <c r="N204" t="s">
        <v>22</v>
      </c>
      <c r="O204">
        <f t="shared" si="3"/>
        <v>29.271310482809454</v>
      </c>
    </row>
    <row r="205" spans="1:15" x14ac:dyDescent="0.3">
      <c r="A205" t="s">
        <v>511</v>
      </c>
      <c r="B205" t="s">
        <v>411</v>
      </c>
      <c r="C205" t="s">
        <v>395</v>
      </c>
      <c r="D205" t="s">
        <v>107</v>
      </c>
      <c r="E205" t="s">
        <v>58</v>
      </c>
      <c r="F205" t="s">
        <v>59</v>
      </c>
      <c r="G205">
        <v>35</v>
      </c>
      <c r="H205">
        <v>38.83</v>
      </c>
      <c r="I205">
        <v>1359.05</v>
      </c>
      <c r="J205">
        <v>93.92</v>
      </c>
      <c r="K205">
        <v>477.63</v>
      </c>
      <c r="L205" t="s">
        <v>42</v>
      </c>
      <c r="M205" t="s">
        <v>29</v>
      </c>
      <c r="N205" t="s">
        <v>108</v>
      </c>
      <c r="O205">
        <f t="shared" si="3"/>
        <v>35.144402339869764</v>
      </c>
    </row>
    <row r="206" spans="1:15" x14ac:dyDescent="0.3">
      <c r="A206" t="s">
        <v>512</v>
      </c>
      <c r="B206" t="s">
        <v>371</v>
      </c>
      <c r="C206" t="s">
        <v>198</v>
      </c>
      <c r="D206" t="s">
        <v>63</v>
      </c>
      <c r="E206" t="s">
        <v>54</v>
      </c>
      <c r="F206" t="s">
        <v>41</v>
      </c>
      <c r="G206">
        <v>39</v>
      </c>
      <c r="H206">
        <v>32.76</v>
      </c>
      <c r="I206">
        <v>1277.6400000000001</v>
      </c>
      <c r="J206">
        <v>35.81</v>
      </c>
      <c r="K206">
        <v>461.83</v>
      </c>
      <c r="L206" t="s">
        <v>28</v>
      </c>
      <c r="M206" t="s">
        <v>35</v>
      </c>
      <c r="N206" t="s">
        <v>66</v>
      </c>
      <c r="O206">
        <f t="shared" si="3"/>
        <v>36.147114993268836</v>
      </c>
    </row>
    <row r="207" spans="1:15" x14ac:dyDescent="0.3">
      <c r="A207" t="s">
        <v>513</v>
      </c>
      <c r="B207" t="s">
        <v>514</v>
      </c>
      <c r="C207" t="s">
        <v>268</v>
      </c>
      <c r="D207" t="s">
        <v>17</v>
      </c>
      <c r="E207" t="s">
        <v>40</v>
      </c>
      <c r="F207" t="s">
        <v>41</v>
      </c>
      <c r="G207">
        <v>8</v>
      </c>
      <c r="H207">
        <v>39.869999999999997</v>
      </c>
      <c r="I207">
        <v>318.95999999999998</v>
      </c>
      <c r="J207">
        <v>15.95</v>
      </c>
      <c r="K207">
        <v>47.01</v>
      </c>
      <c r="L207" t="s">
        <v>42</v>
      </c>
      <c r="M207" t="s">
        <v>35</v>
      </c>
      <c r="N207" t="s">
        <v>22</v>
      </c>
      <c r="O207">
        <f t="shared" si="3"/>
        <v>14.738525206922498</v>
      </c>
    </row>
    <row r="208" spans="1:15" x14ac:dyDescent="0.3">
      <c r="A208" t="s">
        <v>515</v>
      </c>
      <c r="B208" t="s">
        <v>119</v>
      </c>
      <c r="C208" t="s">
        <v>384</v>
      </c>
      <c r="D208" t="s">
        <v>89</v>
      </c>
      <c r="E208" t="s">
        <v>48</v>
      </c>
      <c r="F208" t="s">
        <v>49</v>
      </c>
      <c r="G208">
        <v>10</v>
      </c>
      <c r="H208">
        <v>63.1</v>
      </c>
      <c r="I208">
        <v>631</v>
      </c>
      <c r="J208">
        <v>26.93</v>
      </c>
      <c r="K208">
        <v>204.07</v>
      </c>
      <c r="L208" t="s">
        <v>28</v>
      </c>
      <c r="M208" t="s">
        <v>29</v>
      </c>
      <c r="N208" t="s">
        <v>66</v>
      </c>
      <c r="O208">
        <f t="shared" si="3"/>
        <v>32.340729001584783</v>
      </c>
    </row>
    <row r="209" spans="1:15" x14ac:dyDescent="0.3">
      <c r="A209" t="s">
        <v>516</v>
      </c>
      <c r="B209" t="s">
        <v>517</v>
      </c>
      <c r="C209" t="s">
        <v>128</v>
      </c>
      <c r="D209" t="s">
        <v>207</v>
      </c>
      <c r="E209" t="s">
        <v>40</v>
      </c>
      <c r="F209" t="s">
        <v>41</v>
      </c>
      <c r="G209">
        <v>3</v>
      </c>
      <c r="H209">
        <v>55.1</v>
      </c>
      <c r="I209">
        <v>165.3</v>
      </c>
      <c r="J209">
        <v>9.17</v>
      </c>
      <c r="K209">
        <v>60.13</v>
      </c>
      <c r="L209" t="s">
        <v>20</v>
      </c>
      <c r="M209" t="s">
        <v>21</v>
      </c>
      <c r="N209" t="s">
        <v>30</v>
      </c>
      <c r="O209">
        <f t="shared" si="3"/>
        <v>36.376285541439806</v>
      </c>
    </row>
    <row r="210" spans="1:15" x14ac:dyDescent="0.3">
      <c r="A210" t="s">
        <v>518</v>
      </c>
      <c r="B210" t="s">
        <v>519</v>
      </c>
      <c r="C210" t="s">
        <v>85</v>
      </c>
      <c r="D210" t="s">
        <v>249</v>
      </c>
      <c r="E210" t="s">
        <v>69</v>
      </c>
      <c r="F210" t="s">
        <v>59</v>
      </c>
      <c r="G210">
        <v>26</v>
      </c>
      <c r="H210">
        <v>19.809999999999999</v>
      </c>
      <c r="I210">
        <v>515.05999999999995</v>
      </c>
      <c r="J210">
        <v>10.3</v>
      </c>
      <c r="K210">
        <v>101.76</v>
      </c>
      <c r="L210" t="s">
        <v>42</v>
      </c>
      <c r="M210" t="s">
        <v>29</v>
      </c>
      <c r="N210" t="s">
        <v>66</v>
      </c>
      <c r="O210">
        <f t="shared" si="3"/>
        <v>19.756921523705977</v>
      </c>
    </row>
    <row r="211" spans="1:15" x14ac:dyDescent="0.3">
      <c r="A211" t="s">
        <v>520</v>
      </c>
      <c r="B211" t="s">
        <v>521</v>
      </c>
      <c r="C211" t="s">
        <v>140</v>
      </c>
      <c r="D211" t="s">
        <v>89</v>
      </c>
      <c r="E211" t="s">
        <v>48</v>
      </c>
      <c r="F211" t="s">
        <v>49</v>
      </c>
      <c r="G211">
        <v>17</v>
      </c>
      <c r="H211">
        <v>53.34</v>
      </c>
      <c r="I211">
        <v>906.78</v>
      </c>
      <c r="J211">
        <v>30.6</v>
      </c>
      <c r="K211">
        <v>196.18</v>
      </c>
      <c r="L211" t="s">
        <v>20</v>
      </c>
      <c r="M211" t="s">
        <v>29</v>
      </c>
      <c r="N211" t="s">
        <v>66</v>
      </c>
      <c r="O211">
        <f t="shared" si="3"/>
        <v>21.634795650543683</v>
      </c>
    </row>
    <row r="212" spans="1:15" x14ac:dyDescent="0.3">
      <c r="A212" t="s">
        <v>522</v>
      </c>
      <c r="B212" t="s">
        <v>523</v>
      </c>
      <c r="C212" t="s">
        <v>117</v>
      </c>
      <c r="D212" t="s">
        <v>63</v>
      </c>
      <c r="E212" t="s">
        <v>54</v>
      </c>
      <c r="F212" t="s">
        <v>41</v>
      </c>
      <c r="G212">
        <v>17</v>
      </c>
      <c r="H212">
        <v>28.23</v>
      </c>
      <c r="I212">
        <v>479.91</v>
      </c>
      <c r="J212">
        <v>31.88</v>
      </c>
      <c r="K212">
        <v>108.03</v>
      </c>
      <c r="L212" t="s">
        <v>28</v>
      </c>
      <c r="M212" t="s">
        <v>21</v>
      </c>
      <c r="N212" t="s">
        <v>66</v>
      </c>
      <c r="O212">
        <f t="shared" si="3"/>
        <v>22.510470713258734</v>
      </c>
    </row>
    <row r="213" spans="1:15" x14ac:dyDescent="0.3">
      <c r="A213" t="s">
        <v>524</v>
      </c>
      <c r="B213" t="s">
        <v>525</v>
      </c>
      <c r="C213" t="s">
        <v>526</v>
      </c>
      <c r="D213" t="s">
        <v>207</v>
      </c>
      <c r="E213" t="s">
        <v>27</v>
      </c>
      <c r="F213" t="s">
        <v>19</v>
      </c>
      <c r="G213">
        <v>42</v>
      </c>
      <c r="H213">
        <v>25.26</v>
      </c>
      <c r="I213">
        <v>1060.92</v>
      </c>
      <c r="J213">
        <v>77.05</v>
      </c>
      <c r="K213">
        <v>227.87</v>
      </c>
      <c r="L213" t="s">
        <v>20</v>
      </c>
      <c r="M213" t="s">
        <v>35</v>
      </c>
      <c r="N213" t="s">
        <v>30</v>
      </c>
      <c r="O213">
        <f t="shared" si="3"/>
        <v>21.478528069976999</v>
      </c>
    </row>
    <row r="214" spans="1:15" x14ac:dyDescent="0.3">
      <c r="A214" t="s">
        <v>527</v>
      </c>
      <c r="B214" t="s">
        <v>528</v>
      </c>
      <c r="C214" t="s">
        <v>204</v>
      </c>
      <c r="D214" t="s">
        <v>249</v>
      </c>
      <c r="E214" t="s">
        <v>27</v>
      </c>
      <c r="F214" t="s">
        <v>19</v>
      </c>
      <c r="G214">
        <v>2</v>
      </c>
      <c r="H214">
        <v>27.27</v>
      </c>
      <c r="I214">
        <v>54.54</v>
      </c>
      <c r="J214">
        <v>1.45</v>
      </c>
      <c r="K214">
        <v>17.09</v>
      </c>
      <c r="L214" t="s">
        <v>20</v>
      </c>
      <c r="M214" t="s">
        <v>35</v>
      </c>
      <c r="N214" t="s">
        <v>66</v>
      </c>
      <c r="O214">
        <f t="shared" si="3"/>
        <v>31.334800146681335</v>
      </c>
    </row>
    <row r="215" spans="1:15" x14ac:dyDescent="0.3">
      <c r="A215" t="s">
        <v>529</v>
      </c>
      <c r="B215" t="s">
        <v>530</v>
      </c>
      <c r="C215" t="s">
        <v>336</v>
      </c>
      <c r="D215" t="s">
        <v>89</v>
      </c>
      <c r="E215" t="s">
        <v>103</v>
      </c>
      <c r="F215" t="s">
        <v>59</v>
      </c>
      <c r="G215">
        <v>48</v>
      </c>
      <c r="H215">
        <v>44.95</v>
      </c>
      <c r="I215">
        <v>2157.6</v>
      </c>
      <c r="J215">
        <v>148.41</v>
      </c>
      <c r="K215">
        <v>665.19</v>
      </c>
      <c r="L215" t="s">
        <v>20</v>
      </c>
      <c r="M215" t="s">
        <v>21</v>
      </c>
      <c r="N215" t="s">
        <v>66</v>
      </c>
      <c r="O215">
        <f t="shared" si="3"/>
        <v>30.830088987764189</v>
      </c>
    </row>
    <row r="216" spans="1:15" x14ac:dyDescent="0.3">
      <c r="A216" t="s">
        <v>531</v>
      </c>
      <c r="B216" t="s">
        <v>367</v>
      </c>
      <c r="C216" t="s">
        <v>526</v>
      </c>
      <c r="D216" t="s">
        <v>82</v>
      </c>
      <c r="E216" t="s">
        <v>54</v>
      </c>
      <c r="F216" t="s">
        <v>41</v>
      </c>
      <c r="G216">
        <v>23</v>
      </c>
      <c r="H216">
        <v>28.6</v>
      </c>
      <c r="I216">
        <v>657.8</v>
      </c>
      <c r="J216">
        <v>13.36</v>
      </c>
      <c r="K216">
        <v>184.44</v>
      </c>
      <c r="L216" t="s">
        <v>20</v>
      </c>
      <c r="M216" t="s">
        <v>35</v>
      </c>
      <c r="N216" t="s">
        <v>66</v>
      </c>
      <c r="O216">
        <f t="shared" si="3"/>
        <v>28.038917604135001</v>
      </c>
    </row>
    <row r="217" spans="1:15" x14ac:dyDescent="0.3">
      <c r="A217" t="s">
        <v>532</v>
      </c>
      <c r="B217" t="s">
        <v>276</v>
      </c>
      <c r="C217" t="s">
        <v>140</v>
      </c>
      <c r="D217" t="s">
        <v>137</v>
      </c>
      <c r="E217" t="s">
        <v>69</v>
      </c>
      <c r="F217" t="s">
        <v>59</v>
      </c>
      <c r="G217">
        <v>18</v>
      </c>
      <c r="H217">
        <v>26.1</v>
      </c>
      <c r="I217">
        <v>469.8</v>
      </c>
      <c r="J217">
        <v>19.52</v>
      </c>
      <c r="K217">
        <v>171.28</v>
      </c>
      <c r="L217" t="s">
        <v>42</v>
      </c>
      <c r="M217" t="s">
        <v>21</v>
      </c>
      <c r="N217" t="s">
        <v>30</v>
      </c>
      <c r="O217">
        <f t="shared" si="3"/>
        <v>36.458067262664962</v>
      </c>
    </row>
    <row r="218" spans="1:15" x14ac:dyDescent="0.3">
      <c r="A218" t="s">
        <v>533</v>
      </c>
      <c r="B218" t="s">
        <v>534</v>
      </c>
      <c r="C218" t="s">
        <v>535</v>
      </c>
      <c r="D218" t="s">
        <v>53</v>
      </c>
      <c r="E218" t="s">
        <v>103</v>
      </c>
      <c r="F218" t="s">
        <v>59</v>
      </c>
      <c r="G218">
        <v>21</v>
      </c>
      <c r="H218">
        <v>37.450000000000003</v>
      </c>
      <c r="I218">
        <v>786.45</v>
      </c>
      <c r="J218">
        <v>62.4</v>
      </c>
      <c r="K218">
        <v>136.05000000000001</v>
      </c>
      <c r="L218" t="s">
        <v>20</v>
      </c>
      <c r="M218" t="s">
        <v>35</v>
      </c>
      <c r="N218" t="s">
        <v>22</v>
      </c>
      <c r="O218">
        <f t="shared" si="3"/>
        <v>17.299256151058554</v>
      </c>
    </row>
    <row r="219" spans="1:15" x14ac:dyDescent="0.3">
      <c r="A219" t="s">
        <v>536</v>
      </c>
      <c r="B219" t="s">
        <v>537</v>
      </c>
      <c r="C219" t="s">
        <v>478</v>
      </c>
      <c r="D219" t="s">
        <v>82</v>
      </c>
      <c r="E219" t="s">
        <v>54</v>
      </c>
      <c r="F219" t="s">
        <v>41</v>
      </c>
      <c r="G219">
        <v>25</v>
      </c>
      <c r="H219">
        <v>28.54</v>
      </c>
      <c r="I219">
        <v>713.5</v>
      </c>
      <c r="J219">
        <v>50.38</v>
      </c>
      <c r="K219">
        <v>163.12</v>
      </c>
      <c r="L219" t="s">
        <v>20</v>
      </c>
      <c r="M219" t="s">
        <v>21</v>
      </c>
      <c r="N219" t="s">
        <v>66</v>
      </c>
      <c r="O219">
        <f t="shared" si="3"/>
        <v>22.861948142957253</v>
      </c>
    </row>
    <row r="220" spans="1:15" x14ac:dyDescent="0.3">
      <c r="A220" t="s">
        <v>538</v>
      </c>
      <c r="B220" t="s">
        <v>270</v>
      </c>
      <c r="C220" t="s">
        <v>148</v>
      </c>
      <c r="D220" t="s">
        <v>17</v>
      </c>
      <c r="E220" t="s">
        <v>64</v>
      </c>
      <c r="F220" t="s">
        <v>65</v>
      </c>
      <c r="G220">
        <v>11</v>
      </c>
      <c r="H220">
        <v>38.07</v>
      </c>
      <c r="I220">
        <v>418.77</v>
      </c>
      <c r="J220">
        <v>29.02</v>
      </c>
      <c r="K220">
        <v>114.75</v>
      </c>
      <c r="L220" t="s">
        <v>28</v>
      </c>
      <c r="M220" t="s">
        <v>21</v>
      </c>
      <c r="N220" t="s">
        <v>22</v>
      </c>
      <c r="O220">
        <f t="shared" si="3"/>
        <v>27.401676337846553</v>
      </c>
    </row>
    <row r="221" spans="1:15" x14ac:dyDescent="0.3">
      <c r="A221" t="s">
        <v>539</v>
      </c>
      <c r="B221" t="s">
        <v>540</v>
      </c>
      <c r="C221" t="s">
        <v>541</v>
      </c>
      <c r="D221" t="s">
        <v>47</v>
      </c>
      <c r="E221" t="s">
        <v>69</v>
      </c>
      <c r="F221" t="s">
        <v>59</v>
      </c>
      <c r="G221">
        <v>18</v>
      </c>
      <c r="H221">
        <v>19.32</v>
      </c>
      <c r="I221">
        <v>347.76</v>
      </c>
      <c r="J221">
        <v>21.34</v>
      </c>
      <c r="K221">
        <v>47.42</v>
      </c>
      <c r="L221" t="s">
        <v>28</v>
      </c>
      <c r="M221" t="s">
        <v>21</v>
      </c>
      <c r="N221" t="s">
        <v>22</v>
      </c>
      <c r="O221">
        <f t="shared" si="3"/>
        <v>13.635840809753855</v>
      </c>
    </row>
    <row r="222" spans="1:15" x14ac:dyDescent="0.3">
      <c r="A222" t="s">
        <v>542</v>
      </c>
      <c r="B222" t="s">
        <v>247</v>
      </c>
      <c r="C222" t="s">
        <v>76</v>
      </c>
      <c r="D222" t="s">
        <v>26</v>
      </c>
      <c r="E222" t="s">
        <v>103</v>
      </c>
      <c r="F222" t="s">
        <v>59</v>
      </c>
      <c r="G222">
        <v>42</v>
      </c>
      <c r="H222">
        <v>50.02</v>
      </c>
      <c r="I222">
        <v>2100.84</v>
      </c>
      <c r="J222">
        <v>89.65</v>
      </c>
      <c r="K222">
        <v>835.19</v>
      </c>
      <c r="L222" t="s">
        <v>28</v>
      </c>
      <c r="M222" t="s">
        <v>29</v>
      </c>
      <c r="N222" t="s">
        <v>30</v>
      </c>
      <c r="O222">
        <f t="shared" si="3"/>
        <v>39.755050360808056</v>
      </c>
    </row>
    <row r="223" spans="1:15" x14ac:dyDescent="0.3">
      <c r="A223" t="s">
        <v>543</v>
      </c>
      <c r="B223" t="s">
        <v>544</v>
      </c>
      <c r="C223" t="s">
        <v>377</v>
      </c>
      <c r="D223" t="s">
        <v>172</v>
      </c>
      <c r="E223" t="s">
        <v>103</v>
      </c>
      <c r="F223" t="s">
        <v>59</v>
      </c>
      <c r="G223">
        <v>13</v>
      </c>
      <c r="H223">
        <v>49.39</v>
      </c>
      <c r="I223">
        <v>642.07000000000005</v>
      </c>
      <c r="J223">
        <v>38.32</v>
      </c>
      <c r="K223">
        <v>239.75</v>
      </c>
      <c r="L223" t="s">
        <v>28</v>
      </c>
      <c r="M223" t="s">
        <v>21</v>
      </c>
      <c r="N223" t="s">
        <v>173</v>
      </c>
      <c r="O223">
        <f t="shared" si="3"/>
        <v>37.340165402526196</v>
      </c>
    </row>
    <row r="224" spans="1:15" x14ac:dyDescent="0.3">
      <c r="A224" t="s">
        <v>545</v>
      </c>
      <c r="B224" t="s">
        <v>546</v>
      </c>
      <c r="C224" t="s">
        <v>154</v>
      </c>
      <c r="D224" t="s">
        <v>26</v>
      </c>
      <c r="E224" t="s">
        <v>27</v>
      </c>
      <c r="F224" t="s">
        <v>19</v>
      </c>
      <c r="G224">
        <v>15</v>
      </c>
      <c r="H224">
        <v>22.86</v>
      </c>
      <c r="I224">
        <v>342.9</v>
      </c>
      <c r="J224">
        <v>27.16</v>
      </c>
      <c r="K224">
        <v>45.74</v>
      </c>
      <c r="L224" t="s">
        <v>42</v>
      </c>
      <c r="M224" t="s">
        <v>35</v>
      </c>
      <c r="N224" t="s">
        <v>30</v>
      </c>
      <c r="O224">
        <f t="shared" si="3"/>
        <v>13.339165937591135</v>
      </c>
    </row>
    <row r="225" spans="1:15" x14ac:dyDescent="0.3">
      <c r="A225" t="s">
        <v>547</v>
      </c>
      <c r="B225" t="s">
        <v>548</v>
      </c>
      <c r="C225" t="s">
        <v>535</v>
      </c>
      <c r="D225" t="s">
        <v>249</v>
      </c>
      <c r="E225" t="s">
        <v>64</v>
      </c>
      <c r="F225" t="s">
        <v>65</v>
      </c>
      <c r="G225">
        <v>37</v>
      </c>
      <c r="H225">
        <v>37.270000000000003</v>
      </c>
      <c r="I225">
        <v>1378.99</v>
      </c>
      <c r="J225">
        <v>92.92</v>
      </c>
      <c r="K225">
        <v>361.07</v>
      </c>
      <c r="L225" t="s">
        <v>20</v>
      </c>
      <c r="M225" t="s">
        <v>21</v>
      </c>
      <c r="N225" t="s">
        <v>66</v>
      </c>
      <c r="O225">
        <f t="shared" si="3"/>
        <v>26.183656154141801</v>
      </c>
    </row>
    <row r="226" spans="1:15" x14ac:dyDescent="0.3">
      <c r="A226" t="s">
        <v>549</v>
      </c>
      <c r="B226" t="s">
        <v>550</v>
      </c>
      <c r="C226" t="s">
        <v>52</v>
      </c>
      <c r="D226" t="s">
        <v>137</v>
      </c>
      <c r="E226" t="s">
        <v>18</v>
      </c>
      <c r="F226" t="s">
        <v>19</v>
      </c>
      <c r="G226">
        <v>49</v>
      </c>
      <c r="H226">
        <v>54.05</v>
      </c>
      <c r="I226">
        <v>2648.45</v>
      </c>
      <c r="J226">
        <v>66.8</v>
      </c>
      <c r="K226">
        <v>866.65</v>
      </c>
      <c r="L226" t="s">
        <v>42</v>
      </c>
      <c r="M226" t="s">
        <v>21</v>
      </c>
      <c r="N226" t="s">
        <v>30</v>
      </c>
      <c r="O226">
        <f t="shared" si="3"/>
        <v>32.722913402178634</v>
      </c>
    </row>
    <row r="227" spans="1:15" x14ac:dyDescent="0.3">
      <c r="A227" t="s">
        <v>551</v>
      </c>
      <c r="B227" t="s">
        <v>552</v>
      </c>
      <c r="C227" t="s">
        <v>553</v>
      </c>
      <c r="D227" t="s">
        <v>26</v>
      </c>
      <c r="E227" t="s">
        <v>73</v>
      </c>
      <c r="F227" t="s">
        <v>41</v>
      </c>
      <c r="G227">
        <v>33</v>
      </c>
      <c r="H227">
        <v>20.059999999999999</v>
      </c>
      <c r="I227">
        <v>661.98</v>
      </c>
      <c r="J227">
        <v>50.02</v>
      </c>
      <c r="K227">
        <v>191.21</v>
      </c>
      <c r="L227" t="s">
        <v>42</v>
      </c>
      <c r="M227" t="s">
        <v>29</v>
      </c>
      <c r="N227" t="s">
        <v>30</v>
      </c>
      <c r="O227">
        <f t="shared" si="3"/>
        <v>28.884558445874497</v>
      </c>
    </row>
    <row r="228" spans="1:15" x14ac:dyDescent="0.3">
      <c r="A228" t="s">
        <v>554</v>
      </c>
      <c r="B228" t="s">
        <v>555</v>
      </c>
      <c r="C228" t="s">
        <v>295</v>
      </c>
      <c r="D228" t="s">
        <v>207</v>
      </c>
      <c r="E228" t="s">
        <v>103</v>
      </c>
      <c r="F228" t="s">
        <v>59</v>
      </c>
      <c r="G228">
        <v>49</v>
      </c>
      <c r="H228">
        <v>35.68</v>
      </c>
      <c r="I228">
        <v>1748.32</v>
      </c>
      <c r="J228">
        <v>124.47</v>
      </c>
      <c r="K228">
        <v>251.85</v>
      </c>
      <c r="L228" t="s">
        <v>42</v>
      </c>
      <c r="M228" t="s">
        <v>35</v>
      </c>
      <c r="N228" t="s">
        <v>30</v>
      </c>
      <c r="O228">
        <f t="shared" si="3"/>
        <v>14.405257618742565</v>
      </c>
    </row>
    <row r="229" spans="1:15" x14ac:dyDescent="0.3">
      <c r="A229" t="s">
        <v>556</v>
      </c>
      <c r="B229" t="s">
        <v>557</v>
      </c>
      <c r="C229" t="s">
        <v>33</v>
      </c>
      <c r="D229" t="s">
        <v>249</v>
      </c>
      <c r="E229" t="s">
        <v>64</v>
      </c>
      <c r="F229" t="s">
        <v>65</v>
      </c>
      <c r="G229">
        <v>23</v>
      </c>
      <c r="H229">
        <v>30.89</v>
      </c>
      <c r="I229">
        <v>710.47</v>
      </c>
      <c r="J229">
        <v>18.739999999999998</v>
      </c>
      <c r="K229">
        <v>116.73</v>
      </c>
      <c r="L229" t="s">
        <v>28</v>
      </c>
      <c r="M229" t="s">
        <v>21</v>
      </c>
      <c r="N229" t="s">
        <v>66</v>
      </c>
      <c r="O229">
        <f t="shared" si="3"/>
        <v>16.429968893830843</v>
      </c>
    </row>
    <row r="230" spans="1:15" x14ac:dyDescent="0.3">
      <c r="A230" t="s">
        <v>558</v>
      </c>
      <c r="B230" t="s">
        <v>37</v>
      </c>
      <c r="C230" t="s">
        <v>38</v>
      </c>
      <c r="D230" t="s">
        <v>137</v>
      </c>
      <c r="E230" t="s">
        <v>18</v>
      </c>
      <c r="F230" t="s">
        <v>19</v>
      </c>
      <c r="G230">
        <v>14</v>
      </c>
      <c r="H230">
        <v>59.6</v>
      </c>
      <c r="I230">
        <v>834.4</v>
      </c>
      <c r="J230">
        <v>19.11</v>
      </c>
      <c r="K230">
        <v>325.29000000000002</v>
      </c>
      <c r="L230" t="s">
        <v>28</v>
      </c>
      <c r="M230" t="s">
        <v>29</v>
      </c>
      <c r="N230" t="s">
        <v>30</v>
      </c>
      <c r="O230">
        <f t="shared" si="3"/>
        <v>38.984899328859065</v>
      </c>
    </row>
    <row r="231" spans="1:15" x14ac:dyDescent="0.3">
      <c r="A231" t="s">
        <v>559</v>
      </c>
      <c r="B231" t="s">
        <v>281</v>
      </c>
      <c r="C231" t="s">
        <v>447</v>
      </c>
      <c r="D231" t="s">
        <v>207</v>
      </c>
      <c r="E231" t="s">
        <v>58</v>
      </c>
      <c r="F231" t="s">
        <v>59</v>
      </c>
      <c r="G231">
        <v>3</v>
      </c>
      <c r="H231">
        <v>28.36</v>
      </c>
      <c r="I231">
        <v>85.08</v>
      </c>
      <c r="J231">
        <v>4.46</v>
      </c>
      <c r="K231">
        <v>13.12</v>
      </c>
      <c r="L231" t="s">
        <v>20</v>
      </c>
      <c r="M231" t="s">
        <v>29</v>
      </c>
      <c r="N231" t="s">
        <v>30</v>
      </c>
      <c r="O231">
        <f t="shared" si="3"/>
        <v>15.420780441936998</v>
      </c>
    </row>
    <row r="232" spans="1:15" x14ac:dyDescent="0.3">
      <c r="A232" t="s">
        <v>560</v>
      </c>
      <c r="B232" t="s">
        <v>365</v>
      </c>
      <c r="C232" t="s">
        <v>182</v>
      </c>
      <c r="D232" t="s">
        <v>207</v>
      </c>
      <c r="E232" t="s">
        <v>73</v>
      </c>
      <c r="F232" t="s">
        <v>41</v>
      </c>
      <c r="G232">
        <v>28</v>
      </c>
      <c r="H232">
        <v>22.13</v>
      </c>
      <c r="I232">
        <v>619.64</v>
      </c>
      <c r="J232">
        <v>17.2</v>
      </c>
      <c r="K232">
        <v>245.44</v>
      </c>
      <c r="L232" t="s">
        <v>28</v>
      </c>
      <c r="M232" t="s">
        <v>35</v>
      </c>
      <c r="N232" t="s">
        <v>30</v>
      </c>
      <c r="O232">
        <f t="shared" si="3"/>
        <v>39.610096184881542</v>
      </c>
    </row>
    <row r="233" spans="1:15" x14ac:dyDescent="0.3">
      <c r="A233" t="s">
        <v>561</v>
      </c>
      <c r="B233" t="s">
        <v>355</v>
      </c>
      <c r="C233" t="s">
        <v>339</v>
      </c>
      <c r="D233" t="s">
        <v>17</v>
      </c>
      <c r="E233" t="s">
        <v>27</v>
      </c>
      <c r="F233" t="s">
        <v>19</v>
      </c>
      <c r="G233">
        <v>28</v>
      </c>
      <c r="H233">
        <v>27.62</v>
      </c>
      <c r="I233">
        <v>773.36</v>
      </c>
      <c r="J233">
        <v>29.88</v>
      </c>
      <c r="K233">
        <v>239.48</v>
      </c>
      <c r="L233" t="s">
        <v>20</v>
      </c>
      <c r="M233" t="s">
        <v>21</v>
      </c>
      <c r="N233" t="s">
        <v>22</v>
      </c>
      <c r="O233">
        <f t="shared" si="3"/>
        <v>30.966173580221369</v>
      </c>
    </row>
    <row r="234" spans="1:15" x14ac:dyDescent="0.3">
      <c r="A234" t="s">
        <v>562</v>
      </c>
      <c r="B234" t="s">
        <v>563</v>
      </c>
      <c r="C234" t="s">
        <v>160</v>
      </c>
      <c r="D234" t="s">
        <v>47</v>
      </c>
      <c r="E234" t="s">
        <v>64</v>
      </c>
      <c r="F234" t="s">
        <v>65</v>
      </c>
      <c r="G234">
        <v>40</v>
      </c>
      <c r="H234">
        <v>34.229999999999997</v>
      </c>
      <c r="I234">
        <v>1369.2</v>
      </c>
      <c r="J234">
        <v>78.03</v>
      </c>
      <c r="K234">
        <v>291.17</v>
      </c>
      <c r="L234" t="s">
        <v>20</v>
      </c>
      <c r="M234" t="s">
        <v>21</v>
      </c>
      <c r="N234" t="s">
        <v>22</v>
      </c>
      <c r="O234">
        <f t="shared" si="3"/>
        <v>21.265702600058429</v>
      </c>
    </row>
    <row r="235" spans="1:15" x14ac:dyDescent="0.3">
      <c r="A235" t="s">
        <v>564</v>
      </c>
      <c r="B235" t="s">
        <v>565</v>
      </c>
      <c r="C235" t="s">
        <v>252</v>
      </c>
      <c r="D235" t="s">
        <v>93</v>
      </c>
      <c r="E235" t="s">
        <v>48</v>
      </c>
      <c r="F235" t="s">
        <v>49</v>
      </c>
      <c r="G235">
        <v>9</v>
      </c>
      <c r="H235">
        <v>52.2</v>
      </c>
      <c r="I235">
        <v>469.8</v>
      </c>
      <c r="J235">
        <v>31.5</v>
      </c>
      <c r="K235">
        <v>78.3</v>
      </c>
      <c r="L235" t="s">
        <v>42</v>
      </c>
      <c r="M235" t="s">
        <v>35</v>
      </c>
      <c r="N235" t="s">
        <v>66</v>
      </c>
      <c r="O235">
        <f t="shared" si="3"/>
        <v>16.666666666666664</v>
      </c>
    </row>
    <row r="236" spans="1:15" x14ac:dyDescent="0.3">
      <c r="A236" t="s">
        <v>566</v>
      </c>
      <c r="B236" t="s">
        <v>171</v>
      </c>
      <c r="C236" t="s">
        <v>339</v>
      </c>
      <c r="D236" t="s">
        <v>137</v>
      </c>
      <c r="E236" t="s">
        <v>64</v>
      </c>
      <c r="F236" t="s">
        <v>65</v>
      </c>
      <c r="G236">
        <v>31</v>
      </c>
      <c r="H236">
        <v>43.54</v>
      </c>
      <c r="I236">
        <v>1349.74</v>
      </c>
      <c r="J236">
        <v>99.86</v>
      </c>
      <c r="K236">
        <v>474.88</v>
      </c>
      <c r="L236" t="s">
        <v>20</v>
      </c>
      <c r="M236" t="s">
        <v>29</v>
      </c>
      <c r="N236" t="s">
        <v>30</v>
      </c>
      <c r="O236">
        <f t="shared" si="3"/>
        <v>35.18307229540504</v>
      </c>
    </row>
    <row r="237" spans="1:15" x14ac:dyDescent="0.3">
      <c r="A237" t="s">
        <v>567</v>
      </c>
      <c r="B237" t="s">
        <v>446</v>
      </c>
      <c r="C237" t="s">
        <v>151</v>
      </c>
      <c r="D237" t="s">
        <v>89</v>
      </c>
      <c r="E237" t="s">
        <v>69</v>
      </c>
      <c r="F237" t="s">
        <v>59</v>
      </c>
      <c r="G237">
        <v>31</v>
      </c>
      <c r="H237">
        <v>18.63</v>
      </c>
      <c r="I237">
        <v>577.53</v>
      </c>
      <c r="J237">
        <v>36.65</v>
      </c>
      <c r="K237">
        <v>60.38</v>
      </c>
      <c r="L237" t="s">
        <v>42</v>
      </c>
      <c r="M237" t="s">
        <v>21</v>
      </c>
      <c r="N237" t="s">
        <v>66</v>
      </c>
      <c r="O237">
        <f t="shared" si="3"/>
        <v>10.454868145377731</v>
      </c>
    </row>
    <row r="238" spans="1:15" x14ac:dyDescent="0.3">
      <c r="A238" t="s">
        <v>568</v>
      </c>
      <c r="B238" t="s">
        <v>569</v>
      </c>
      <c r="C238" t="s">
        <v>409</v>
      </c>
      <c r="D238" t="s">
        <v>93</v>
      </c>
      <c r="E238" t="s">
        <v>54</v>
      </c>
      <c r="F238" t="s">
        <v>41</v>
      </c>
      <c r="G238">
        <v>38</v>
      </c>
      <c r="H238">
        <v>27.28</v>
      </c>
      <c r="I238">
        <v>1036.6400000000001</v>
      </c>
      <c r="J238">
        <v>38.770000000000003</v>
      </c>
      <c r="K238">
        <v>237.87</v>
      </c>
      <c r="L238" t="s">
        <v>20</v>
      </c>
      <c r="M238" t="s">
        <v>35</v>
      </c>
      <c r="N238" t="s">
        <v>66</v>
      </c>
      <c r="O238">
        <f t="shared" si="3"/>
        <v>22.946249421206975</v>
      </c>
    </row>
    <row r="239" spans="1:15" x14ac:dyDescent="0.3">
      <c r="A239" t="s">
        <v>570</v>
      </c>
      <c r="B239" t="s">
        <v>449</v>
      </c>
      <c r="C239" t="s">
        <v>295</v>
      </c>
      <c r="D239" t="s">
        <v>39</v>
      </c>
      <c r="E239" t="s">
        <v>27</v>
      </c>
      <c r="F239" t="s">
        <v>19</v>
      </c>
      <c r="G239">
        <v>50</v>
      </c>
      <c r="H239">
        <v>30.97</v>
      </c>
      <c r="I239">
        <v>1548.5</v>
      </c>
      <c r="J239">
        <v>82.09</v>
      </c>
      <c r="K239">
        <v>566.41</v>
      </c>
      <c r="L239" t="s">
        <v>28</v>
      </c>
      <c r="M239" t="s">
        <v>29</v>
      </c>
      <c r="N239" t="s">
        <v>43</v>
      </c>
      <c r="O239">
        <f t="shared" si="3"/>
        <v>36.577978689053921</v>
      </c>
    </row>
    <row r="240" spans="1:15" x14ac:dyDescent="0.3">
      <c r="A240" t="s">
        <v>571</v>
      </c>
      <c r="B240" t="s">
        <v>84</v>
      </c>
      <c r="C240" t="s">
        <v>92</v>
      </c>
      <c r="D240" t="s">
        <v>93</v>
      </c>
      <c r="E240" t="s">
        <v>48</v>
      </c>
      <c r="F240" t="s">
        <v>49</v>
      </c>
      <c r="G240">
        <v>17</v>
      </c>
      <c r="H240">
        <v>60.91</v>
      </c>
      <c r="I240">
        <v>1035.47</v>
      </c>
      <c r="J240">
        <v>54.09</v>
      </c>
      <c r="K240">
        <v>301.38</v>
      </c>
      <c r="L240" t="s">
        <v>42</v>
      </c>
      <c r="M240" t="s">
        <v>21</v>
      </c>
      <c r="N240" t="s">
        <v>66</v>
      </c>
      <c r="O240">
        <f t="shared" si="3"/>
        <v>29.105623533274745</v>
      </c>
    </row>
    <row r="241" spans="1:15" x14ac:dyDescent="0.3">
      <c r="A241" t="s">
        <v>572</v>
      </c>
      <c r="B241" t="s">
        <v>573</v>
      </c>
      <c r="C241" t="s">
        <v>404</v>
      </c>
      <c r="D241" t="s">
        <v>63</v>
      </c>
      <c r="E241" t="s">
        <v>54</v>
      </c>
      <c r="F241" t="s">
        <v>41</v>
      </c>
      <c r="G241">
        <v>25</v>
      </c>
      <c r="H241">
        <v>31.15</v>
      </c>
      <c r="I241">
        <v>778.75</v>
      </c>
      <c r="J241">
        <v>47.45</v>
      </c>
      <c r="K241">
        <v>231.3</v>
      </c>
      <c r="L241" t="s">
        <v>20</v>
      </c>
      <c r="M241" t="s">
        <v>35</v>
      </c>
      <c r="N241" t="s">
        <v>66</v>
      </c>
      <c r="O241">
        <f t="shared" si="3"/>
        <v>29.701444622792938</v>
      </c>
    </row>
    <row r="242" spans="1:15" x14ac:dyDescent="0.3">
      <c r="A242" t="s">
        <v>574</v>
      </c>
      <c r="B242" t="s">
        <v>575</v>
      </c>
      <c r="C242" t="s">
        <v>429</v>
      </c>
      <c r="D242" t="s">
        <v>137</v>
      </c>
      <c r="E242" t="s">
        <v>27</v>
      </c>
      <c r="F242" t="s">
        <v>19</v>
      </c>
      <c r="G242">
        <v>30</v>
      </c>
      <c r="H242">
        <v>31.12</v>
      </c>
      <c r="I242">
        <v>933.6</v>
      </c>
      <c r="J242">
        <v>50.88</v>
      </c>
      <c r="K242">
        <v>342.72</v>
      </c>
      <c r="L242" t="s">
        <v>28</v>
      </c>
      <c r="M242" t="s">
        <v>29</v>
      </c>
      <c r="N242" t="s">
        <v>30</v>
      </c>
      <c r="O242">
        <f t="shared" si="3"/>
        <v>36.709511568123396</v>
      </c>
    </row>
    <row r="243" spans="1:15" x14ac:dyDescent="0.3">
      <c r="A243" t="s">
        <v>576</v>
      </c>
      <c r="B243" t="s">
        <v>577</v>
      </c>
      <c r="C243" t="s">
        <v>148</v>
      </c>
      <c r="D243" t="s">
        <v>53</v>
      </c>
      <c r="E243" t="s">
        <v>69</v>
      </c>
      <c r="F243" t="s">
        <v>59</v>
      </c>
      <c r="G243">
        <v>17</v>
      </c>
      <c r="H243">
        <v>19.64</v>
      </c>
      <c r="I243">
        <v>333.88</v>
      </c>
      <c r="J243">
        <v>22.23</v>
      </c>
      <c r="K243">
        <v>48.15</v>
      </c>
      <c r="L243" t="s">
        <v>42</v>
      </c>
      <c r="M243" t="s">
        <v>35</v>
      </c>
      <c r="N243" t="s">
        <v>22</v>
      </c>
      <c r="O243">
        <f t="shared" si="3"/>
        <v>14.421348987660238</v>
      </c>
    </row>
    <row r="244" spans="1:15" x14ac:dyDescent="0.3">
      <c r="A244" t="s">
        <v>578</v>
      </c>
      <c r="B244" t="s">
        <v>579</v>
      </c>
      <c r="C244" t="s">
        <v>580</v>
      </c>
      <c r="D244" t="s">
        <v>17</v>
      </c>
      <c r="E244" t="s">
        <v>40</v>
      </c>
      <c r="F244" t="s">
        <v>41</v>
      </c>
      <c r="G244">
        <v>37</v>
      </c>
      <c r="H244">
        <v>57.35</v>
      </c>
      <c r="I244">
        <v>2121.9499999999998</v>
      </c>
      <c r="J244">
        <v>147.38999999999999</v>
      </c>
      <c r="K244">
        <v>790.56</v>
      </c>
      <c r="L244" t="s">
        <v>20</v>
      </c>
      <c r="M244" t="s">
        <v>21</v>
      </c>
      <c r="N244" t="s">
        <v>22</v>
      </c>
      <c r="O244">
        <f t="shared" si="3"/>
        <v>37.25629727373407</v>
      </c>
    </row>
    <row r="245" spans="1:15" x14ac:dyDescent="0.3">
      <c r="A245" t="s">
        <v>581</v>
      </c>
      <c r="B245" t="s">
        <v>582</v>
      </c>
      <c r="C245" t="s">
        <v>16</v>
      </c>
      <c r="D245" t="s">
        <v>34</v>
      </c>
      <c r="E245" t="s">
        <v>18</v>
      </c>
      <c r="F245" t="s">
        <v>19</v>
      </c>
      <c r="G245">
        <v>45</v>
      </c>
      <c r="H245">
        <v>42.6</v>
      </c>
      <c r="I245">
        <v>1917</v>
      </c>
      <c r="J245">
        <v>104.27</v>
      </c>
      <c r="K245">
        <v>237.73</v>
      </c>
      <c r="L245" t="s">
        <v>28</v>
      </c>
      <c r="M245" t="s">
        <v>35</v>
      </c>
      <c r="N245" t="s">
        <v>30</v>
      </c>
      <c r="O245">
        <f t="shared" si="3"/>
        <v>12.401147626499737</v>
      </c>
    </row>
    <row r="246" spans="1:15" x14ac:dyDescent="0.3">
      <c r="A246" t="s">
        <v>583</v>
      </c>
      <c r="B246" t="s">
        <v>584</v>
      </c>
      <c r="C246" t="s">
        <v>131</v>
      </c>
      <c r="D246" t="s">
        <v>26</v>
      </c>
      <c r="E246" t="s">
        <v>54</v>
      </c>
      <c r="F246" t="s">
        <v>41</v>
      </c>
      <c r="G246">
        <v>25</v>
      </c>
      <c r="H246">
        <v>31.82</v>
      </c>
      <c r="I246">
        <v>795.5</v>
      </c>
      <c r="J246">
        <v>37.33</v>
      </c>
      <c r="K246">
        <v>258.17</v>
      </c>
      <c r="L246" t="s">
        <v>20</v>
      </c>
      <c r="M246" t="s">
        <v>29</v>
      </c>
      <c r="N246" t="s">
        <v>30</v>
      </c>
      <c r="O246">
        <f t="shared" si="3"/>
        <v>32.453802639849158</v>
      </c>
    </row>
    <row r="247" spans="1:15" x14ac:dyDescent="0.3">
      <c r="A247" t="s">
        <v>585</v>
      </c>
      <c r="B247" t="s">
        <v>61</v>
      </c>
      <c r="C247" t="s">
        <v>166</v>
      </c>
      <c r="D247" t="s">
        <v>249</v>
      </c>
      <c r="E247" t="s">
        <v>64</v>
      </c>
      <c r="F247" t="s">
        <v>65</v>
      </c>
      <c r="G247">
        <v>17</v>
      </c>
      <c r="H247">
        <v>36.270000000000003</v>
      </c>
      <c r="I247">
        <v>616.59</v>
      </c>
      <c r="J247">
        <v>22.76</v>
      </c>
      <c r="K247">
        <v>168.83</v>
      </c>
      <c r="L247" t="s">
        <v>42</v>
      </c>
      <c r="M247" t="s">
        <v>21</v>
      </c>
      <c r="N247" t="s">
        <v>66</v>
      </c>
      <c r="O247">
        <f t="shared" si="3"/>
        <v>27.381241992247684</v>
      </c>
    </row>
    <row r="248" spans="1:15" x14ac:dyDescent="0.3">
      <c r="A248" t="s">
        <v>586</v>
      </c>
      <c r="B248" t="s">
        <v>587</v>
      </c>
      <c r="C248" t="s">
        <v>301</v>
      </c>
      <c r="D248" t="s">
        <v>89</v>
      </c>
      <c r="E248" t="s">
        <v>27</v>
      </c>
      <c r="F248" t="s">
        <v>19</v>
      </c>
      <c r="G248">
        <v>4</v>
      </c>
      <c r="H248">
        <v>27.01</v>
      </c>
      <c r="I248">
        <v>108.04</v>
      </c>
      <c r="J248">
        <v>4.7300000000000004</v>
      </c>
      <c r="K248">
        <v>31.31</v>
      </c>
      <c r="L248" t="s">
        <v>42</v>
      </c>
      <c r="M248" t="s">
        <v>35</v>
      </c>
      <c r="N248" t="s">
        <v>66</v>
      </c>
      <c r="O248">
        <f t="shared" si="3"/>
        <v>28.980007404664939</v>
      </c>
    </row>
    <row r="249" spans="1:15" x14ac:dyDescent="0.3">
      <c r="A249" t="s">
        <v>588</v>
      </c>
      <c r="B249" t="s">
        <v>139</v>
      </c>
      <c r="C249" t="s">
        <v>336</v>
      </c>
      <c r="D249" t="s">
        <v>53</v>
      </c>
      <c r="E249" t="s">
        <v>18</v>
      </c>
      <c r="F249" t="s">
        <v>19</v>
      </c>
      <c r="G249">
        <v>22</v>
      </c>
      <c r="H249">
        <v>57.6</v>
      </c>
      <c r="I249">
        <v>1267.2</v>
      </c>
      <c r="J249">
        <v>35.32</v>
      </c>
      <c r="K249">
        <v>461.88</v>
      </c>
      <c r="L249" t="s">
        <v>42</v>
      </c>
      <c r="M249" t="s">
        <v>21</v>
      </c>
      <c r="N249" t="s">
        <v>22</v>
      </c>
      <c r="O249">
        <f t="shared" si="3"/>
        <v>36.448863636363633</v>
      </c>
    </row>
    <row r="250" spans="1:15" x14ac:dyDescent="0.3">
      <c r="A250" t="s">
        <v>589</v>
      </c>
      <c r="B250" t="s">
        <v>590</v>
      </c>
      <c r="C250" t="s">
        <v>384</v>
      </c>
      <c r="D250" t="s">
        <v>207</v>
      </c>
      <c r="E250" t="s">
        <v>64</v>
      </c>
      <c r="F250" t="s">
        <v>65</v>
      </c>
      <c r="G250">
        <v>24</v>
      </c>
      <c r="H250">
        <v>43.34</v>
      </c>
      <c r="I250">
        <v>1040.1600000000001</v>
      </c>
      <c r="J250">
        <v>41.18</v>
      </c>
      <c r="K250">
        <v>398.98</v>
      </c>
      <c r="L250" t="s">
        <v>20</v>
      </c>
      <c r="M250" t="s">
        <v>35</v>
      </c>
      <c r="N250" t="s">
        <v>30</v>
      </c>
      <c r="O250">
        <f t="shared" si="3"/>
        <v>38.357560375326869</v>
      </c>
    </row>
    <row r="251" spans="1:15" x14ac:dyDescent="0.3">
      <c r="A251" t="s">
        <v>591</v>
      </c>
      <c r="B251" t="s">
        <v>592</v>
      </c>
      <c r="C251" t="s">
        <v>232</v>
      </c>
      <c r="D251" t="s">
        <v>53</v>
      </c>
      <c r="E251" t="s">
        <v>48</v>
      </c>
      <c r="F251" t="s">
        <v>49</v>
      </c>
      <c r="G251">
        <v>37</v>
      </c>
      <c r="H251">
        <v>71.8</v>
      </c>
      <c r="I251">
        <v>2656.6</v>
      </c>
      <c r="J251">
        <v>60.3</v>
      </c>
      <c r="K251">
        <v>1116.3</v>
      </c>
      <c r="L251" t="s">
        <v>28</v>
      </c>
      <c r="M251" t="s">
        <v>21</v>
      </c>
      <c r="N251" t="s">
        <v>22</v>
      </c>
      <c r="O251">
        <f t="shared" si="3"/>
        <v>42.019875028231574</v>
      </c>
    </row>
    <row r="252" spans="1:15" x14ac:dyDescent="0.3">
      <c r="A252" t="s">
        <v>593</v>
      </c>
      <c r="B252" t="s">
        <v>594</v>
      </c>
      <c r="C252" t="s">
        <v>580</v>
      </c>
      <c r="D252" t="s">
        <v>89</v>
      </c>
      <c r="E252" t="s">
        <v>54</v>
      </c>
      <c r="F252" t="s">
        <v>41</v>
      </c>
      <c r="G252">
        <v>24</v>
      </c>
      <c r="H252">
        <v>29.11</v>
      </c>
      <c r="I252">
        <v>698.64</v>
      </c>
      <c r="J252">
        <v>53.99</v>
      </c>
      <c r="K252">
        <v>164.65</v>
      </c>
      <c r="L252" t="s">
        <v>42</v>
      </c>
      <c r="M252" t="s">
        <v>35</v>
      </c>
      <c r="N252" t="s">
        <v>66</v>
      </c>
      <c r="O252">
        <f t="shared" si="3"/>
        <v>23.567216305965879</v>
      </c>
    </row>
    <row r="253" spans="1:15" x14ac:dyDescent="0.3">
      <c r="A253" t="s">
        <v>595</v>
      </c>
      <c r="B253" t="s">
        <v>596</v>
      </c>
      <c r="C253" t="s">
        <v>597</v>
      </c>
      <c r="D253" t="s">
        <v>93</v>
      </c>
      <c r="E253" t="s">
        <v>58</v>
      </c>
      <c r="F253" t="s">
        <v>59</v>
      </c>
      <c r="G253">
        <v>6</v>
      </c>
      <c r="H253">
        <v>27.91</v>
      </c>
      <c r="I253">
        <v>167.46</v>
      </c>
      <c r="J253">
        <v>10.01</v>
      </c>
      <c r="K253">
        <v>22.45</v>
      </c>
      <c r="L253" t="s">
        <v>20</v>
      </c>
      <c r="M253" t="s">
        <v>21</v>
      </c>
      <c r="N253" t="s">
        <v>66</v>
      </c>
      <c r="O253">
        <f t="shared" si="3"/>
        <v>13.40618655201242</v>
      </c>
    </row>
    <row r="254" spans="1:15" x14ac:dyDescent="0.3">
      <c r="A254" t="s">
        <v>598</v>
      </c>
      <c r="B254" t="s">
        <v>569</v>
      </c>
      <c r="C254" t="s">
        <v>38</v>
      </c>
      <c r="D254" t="s">
        <v>63</v>
      </c>
      <c r="E254" t="s">
        <v>58</v>
      </c>
      <c r="F254" t="s">
        <v>59</v>
      </c>
      <c r="G254">
        <v>28</v>
      </c>
      <c r="H254">
        <v>27.29</v>
      </c>
      <c r="I254">
        <v>764.12</v>
      </c>
      <c r="J254">
        <v>25.78</v>
      </c>
      <c r="K254">
        <v>108.34</v>
      </c>
      <c r="L254" t="s">
        <v>42</v>
      </c>
      <c r="M254" t="s">
        <v>21</v>
      </c>
      <c r="N254" t="s">
        <v>66</v>
      </c>
      <c r="O254">
        <f t="shared" si="3"/>
        <v>14.17840129822541</v>
      </c>
    </row>
    <row r="255" spans="1:15" x14ac:dyDescent="0.3">
      <c r="A255" t="s">
        <v>599</v>
      </c>
      <c r="B255" t="s">
        <v>600</v>
      </c>
      <c r="C255" t="s">
        <v>472</v>
      </c>
      <c r="D255" t="s">
        <v>53</v>
      </c>
      <c r="E255" t="s">
        <v>58</v>
      </c>
      <c r="F255" t="s">
        <v>59</v>
      </c>
      <c r="G255">
        <v>47</v>
      </c>
      <c r="H255">
        <v>35.880000000000003</v>
      </c>
      <c r="I255">
        <v>1686.36</v>
      </c>
      <c r="J255">
        <v>70.3</v>
      </c>
      <c r="K255">
        <v>558.55999999999995</v>
      </c>
      <c r="L255" t="s">
        <v>20</v>
      </c>
      <c r="M255" t="s">
        <v>29</v>
      </c>
      <c r="N255" t="s">
        <v>22</v>
      </c>
      <c r="O255">
        <f t="shared" si="3"/>
        <v>33.122227756825353</v>
      </c>
    </row>
    <row r="256" spans="1:15" x14ac:dyDescent="0.3">
      <c r="A256" t="s">
        <v>601</v>
      </c>
      <c r="B256" t="s">
        <v>584</v>
      </c>
      <c r="C256" t="s">
        <v>284</v>
      </c>
      <c r="D256" t="s">
        <v>137</v>
      </c>
      <c r="E256" t="s">
        <v>69</v>
      </c>
      <c r="F256" t="s">
        <v>59</v>
      </c>
      <c r="G256">
        <v>19</v>
      </c>
      <c r="H256">
        <v>27.47</v>
      </c>
      <c r="I256">
        <v>521.92999999999995</v>
      </c>
      <c r="J256">
        <v>31.29</v>
      </c>
      <c r="K256">
        <v>196.14</v>
      </c>
      <c r="L256" t="s">
        <v>28</v>
      </c>
      <c r="M256" t="s">
        <v>35</v>
      </c>
      <c r="N256" t="s">
        <v>30</v>
      </c>
      <c r="O256">
        <f t="shared" si="3"/>
        <v>37.579752074032918</v>
      </c>
    </row>
    <row r="257" spans="1:15" x14ac:dyDescent="0.3">
      <c r="A257" t="s">
        <v>602</v>
      </c>
      <c r="B257" t="s">
        <v>261</v>
      </c>
      <c r="C257" t="s">
        <v>182</v>
      </c>
      <c r="D257" t="s">
        <v>172</v>
      </c>
      <c r="E257" t="s">
        <v>54</v>
      </c>
      <c r="F257" t="s">
        <v>41</v>
      </c>
      <c r="G257">
        <v>13</v>
      </c>
      <c r="H257">
        <v>29.26</v>
      </c>
      <c r="I257">
        <v>380.38</v>
      </c>
      <c r="J257">
        <v>9.4700000000000006</v>
      </c>
      <c r="K257">
        <v>110.91</v>
      </c>
      <c r="L257" t="s">
        <v>28</v>
      </c>
      <c r="M257" t="s">
        <v>35</v>
      </c>
      <c r="N257" t="s">
        <v>173</v>
      </c>
      <c r="O257">
        <f t="shared" si="3"/>
        <v>29.157684420842315</v>
      </c>
    </row>
    <row r="258" spans="1:15" x14ac:dyDescent="0.3">
      <c r="A258" t="s">
        <v>603</v>
      </c>
      <c r="B258" t="s">
        <v>565</v>
      </c>
      <c r="C258" t="s">
        <v>452</v>
      </c>
      <c r="D258" t="s">
        <v>207</v>
      </c>
      <c r="E258" t="s">
        <v>27</v>
      </c>
      <c r="F258" t="s">
        <v>19</v>
      </c>
      <c r="G258">
        <v>4</v>
      </c>
      <c r="H258">
        <v>26.17</v>
      </c>
      <c r="I258">
        <v>104.68</v>
      </c>
      <c r="J258">
        <v>6.33</v>
      </c>
      <c r="K258">
        <v>26.35</v>
      </c>
      <c r="L258" t="s">
        <v>20</v>
      </c>
      <c r="M258" t="s">
        <v>29</v>
      </c>
      <c r="N258" t="s">
        <v>30</v>
      </c>
      <c r="O258">
        <f t="shared" si="3"/>
        <v>25.171952617500953</v>
      </c>
    </row>
    <row r="259" spans="1:15" x14ac:dyDescent="0.3">
      <c r="A259" t="s">
        <v>604</v>
      </c>
      <c r="B259" t="s">
        <v>605</v>
      </c>
      <c r="C259" t="s">
        <v>232</v>
      </c>
      <c r="D259" t="s">
        <v>207</v>
      </c>
      <c r="E259" t="s">
        <v>58</v>
      </c>
      <c r="F259" t="s">
        <v>59</v>
      </c>
      <c r="G259">
        <v>43</v>
      </c>
      <c r="H259">
        <v>37.32</v>
      </c>
      <c r="I259">
        <v>1604.76</v>
      </c>
      <c r="J259">
        <v>61.01</v>
      </c>
      <c r="K259">
        <v>576.25</v>
      </c>
      <c r="L259" t="s">
        <v>20</v>
      </c>
      <c r="M259" t="s">
        <v>29</v>
      </c>
      <c r="N259" t="s">
        <v>30</v>
      </c>
      <c r="O259">
        <f t="shared" ref="O259:O322" si="4">K259/I259*100</f>
        <v>35.908796330915528</v>
      </c>
    </row>
    <row r="260" spans="1:15" x14ac:dyDescent="0.3">
      <c r="A260" t="s">
        <v>606</v>
      </c>
      <c r="B260" t="s">
        <v>607</v>
      </c>
      <c r="C260" t="s">
        <v>432</v>
      </c>
      <c r="D260" t="s">
        <v>107</v>
      </c>
      <c r="E260" t="s">
        <v>27</v>
      </c>
      <c r="F260" t="s">
        <v>19</v>
      </c>
      <c r="G260">
        <v>27</v>
      </c>
      <c r="H260">
        <v>23.05</v>
      </c>
      <c r="I260">
        <v>622.35</v>
      </c>
      <c r="J260">
        <v>20.440000000000001</v>
      </c>
      <c r="K260">
        <v>115.91</v>
      </c>
      <c r="L260" t="s">
        <v>42</v>
      </c>
      <c r="M260" t="s">
        <v>29</v>
      </c>
      <c r="N260" t="s">
        <v>108</v>
      </c>
      <c r="O260">
        <f t="shared" si="4"/>
        <v>18.624568169036714</v>
      </c>
    </row>
    <row r="261" spans="1:15" x14ac:dyDescent="0.3">
      <c r="A261" t="s">
        <v>608</v>
      </c>
      <c r="B261" t="s">
        <v>609</v>
      </c>
      <c r="C261" t="s">
        <v>610</v>
      </c>
      <c r="D261" t="s">
        <v>93</v>
      </c>
      <c r="E261" t="s">
        <v>73</v>
      </c>
      <c r="F261" t="s">
        <v>41</v>
      </c>
      <c r="G261">
        <v>38</v>
      </c>
      <c r="H261">
        <v>19.02</v>
      </c>
      <c r="I261">
        <v>722.76</v>
      </c>
      <c r="J261">
        <v>14.63</v>
      </c>
      <c r="K261">
        <v>223.63</v>
      </c>
      <c r="L261" t="s">
        <v>28</v>
      </c>
      <c r="M261" t="s">
        <v>29</v>
      </c>
      <c r="N261" t="s">
        <v>66</v>
      </c>
      <c r="O261">
        <f t="shared" si="4"/>
        <v>30.941114616193481</v>
      </c>
    </row>
    <row r="262" spans="1:15" x14ac:dyDescent="0.3">
      <c r="A262" t="s">
        <v>611</v>
      </c>
      <c r="B262" t="s">
        <v>612</v>
      </c>
      <c r="C262" t="s">
        <v>613</v>
      </c>
      <c r="D262" t="s">
        <v>47</v>
      </c>
      <c r="E262" t="s">
        <v>48</v>
      </c>
      <c r="F262" t="s">
        <v>49</v>
      </c>
      <c r="G262">
        <v>10</v>
      </c>
      <c r="H262">
        <v>70.94</v>
      </c>
      <c r="I262">
        <v>709.4</v>
      </c>
      <c r="J262">
        <v>18.64</v>
      </c>
      <c r="K262">
        <v>290.76</v>
      </c>
      <c r="L262" t="s">
        <v>28</v>
      </c>
      <c r="M262" t="s">
        <v>35</v>
      </c>
      <c r="N262" t="s">
        <v>22</v>
      </c>
      <c r="O262">
        <f t="shared" si="4"/>
        <v>40.986749365661126</v>
      </c>
    </row>
    <row r="263" spans="1:15" x14ac:dyDescent="0.3">
      <c r="A263" t="s">
        <v>614</v>
      </c>
      <c r="B263" t="s">
        <v>615</v>
      </c>
      <c r="C263" t="s">
        <v>409</v>
      </c>
      <c r="D263" t="s">
        <v>82</v>
      </c>
      <c r="E263" t="s">
        <v>64</v>
      </c>
      <c r="F263" t="s">
        <v>65</v>
      </c>
      <c r="G263">
        <v>17</v>
      </c>
      <c r="H263">
        <v>38.28</v>
      </c>
      <c r="I263">
        <v>650.76</v>
      </c>
      <c r="J263">
        <v>38.43</v>
      </c>
      <c r="K263">
        <v>187.33</v>
      </c>
      <c r="L263" t="s">
        <v>28</v>
      </c>
      <c r="M263" t="s">
        <v>35</v>
      </c>
      <c r="N263" t="s">
        <v>66</v>
      </c>
      <c r="O263">
        <f t="shared" si="4"/>
        <v>28.786342123056119</v>
      </c>
    </row>
    <row r="264" spans="1:15" x14ac:dyDescent="0.3">
      <c r="A264" t="s">
        <v>616</v>
      </c>
      <c r="B264" t="s">
        <v>617</v>
      </c>
      <c r="C264" t="s">
        <v>541</v>
      </c>
      <c r="D264" t="s">
        <v>17</v>
      </c>
      <c r="E264" t="s">
        <v>40</v>
      </c>
      <c r="F264" t="s">
        <v>41</v>
      </c>
      <c r="G264">
        <v>10</v>
      </c>
      <c r="H264">
        <v>38.799999999999997</v>
      </c>
      <c r="I264">
        <v>388</v>
      </c>
      <c r="J264">
        <v>16.39</v>
      </c>
      <c r="K264">
        <v>51.61</v>
      </c>
      <c r="L264" t="s">
        <v>42</v>
      </c>
      <c r="M264" t="s">
        <v>29</v>
      </c>
      <c r="N264" t="s">
        <v>22</v>
      </c>
      <c r="O264">
        <f t="shared" si="4"/>
        <v>13.301546391752577</v>
      </c>
    </row>
    <row r="265" spans="1:15" x14ac:dyDescent="0.3">
      <c r="A265" t="s">
        <v>618</v>
      </c>
      <c r="B265" t="s">
        <v>619</v>
      </c>
      <c r="C265" t="s">
        <v>232</v>
      </c>
      <c r="D265" t="s">
        <v>63</v>
      </c>
      <c r="E265" t="s">
        <v>64</v>
      </c>
      <c r="F265" t="s">
        <v>65</v>
      </c>
      <c r="G265">
        <v>3</v>
      </c>
      <c r="H265">
        <v>33.840000000000003</v>
      </c>
      <c r="I265">
        <v>101.52</v>
      </c>
      <c r="J265">
        <v>2.3199999999999998</v>
      </c>
      <c r="K265">
        <v>24.2</v>
      </c>
      <c r="L265" t="s">
        <v>42</v>
      </c>
      <c r="M265" t="s">
        <v>35</v>
      </c>
      <c r="N265" t="s">
        <v>66</v>
      </c>
      <c r="O265">
        <f t="shared" si="4"/>
        <v>23.837667454688731</v>
      </c>
    </row>
    <row r="266" spans="1:15" x14ac:dyDescent="0.3">
      <c r="A266" t="s">
        <v>620</v>
      </c>
      <c r="B266" t="s">
        <v>621</v>
      </c>
      <c r="C266" t="s">
        <v>284</v>
      </c>
      <c r="D266" t="s">
        <v>207</v>
      </c>
      <c r="E266" t="s">
        <v>69</v>
      </c>
      <c r="F266" t="s">
        <v>59</v>
      </c>
      <c r="G266">
        <v>20</v>
      </c>
      <c r="H266">
        <v>21.12</v>
      </c>
      <c r="I266">
        <v>422.4</v>
      </c>
      <c r="J266">
        <v>22.08</v>
      </c>
      <c r="K266">
        <v>90.32</v>
      </c>
      <c r="L266" t="s">
        <v>28</v>
      </c>
      <c r="M266" t="s">
        <v>35</v>
      </c>
      <c r="N266" t="s">
        <v>30</v>
      </c>
      <c r="O266">
        <f t="shared" si="4"/>
        <v>21.382575757575754</v>
      </c>
    </row>
    <row r="267" spans="1:15" x14ac:dyDescent="0.3">
      <c r="A267" t="s">
        <v>622</v>
      </c>
      <c r="B267" t="s">
        <v>623</v>
      </c>
      <c r="C267" t="s">
        <v>407</v>
      </c>
      <c r="D267" t="s">
        <v>107</v>
      </c>
      <c r="E267" t="s">
        <v>18</v>
      </c>
      <c r="F267" t="s">
        <v>19</v>
      </c>
      <c r="G267">
        <v>1</v>
      </c>
      <c r="H267">
        <v>58.15</v>
      </c>
      <c r="I267">
        <v>58.15</v>
      </c>
      <c r="J267">
        <v>4.2</v>
      </c>
      <c r="K267">
        <v>18.95</v>
      </c>
      <c r="L267" t="s">
        <v>28</v>
      </c>
      <c r="M267" t="s">
        <v>29</v>
      </c>
      <c r="N267" t="s">
        <v>108</v>
      </c>
      <c r="O267">
        <f t="shared" si="4"/>
        <v>32.588134135855547</v>
      </c>
    </row>
    <row r="268" spans="1:15" x14ac:dyDescent="0.3">
      <c r="A268" t="s">
        <v>624</v>
      </c>
      <c r="B268" t="s">
        <v>625</v>
      </c>
      <c r="C268" t="s">
        <v>123</v>
      </c>
      <c r="D268" t="s">
        <v>39</v>
      </c>
      <c r="E268" t="s">
        <v>40</v>
      </c>
      <c r="F268" t="s">
        <v>41</v>
      </c>
      <c r="G268">
        <v>32</v>
      </c>
      <c r="H268">
        <v>45.96</v>
      </c>
      <c r="I268">
        <v>1470.72</v>
      </c>
      <c r="J268">
        <v>82.77</v>
      </c>
      <c r="K268">
        <v>363.95</v>
      </c>
      <c r="L268" t="s">
        <v>20</v>
      </c>
      <c r="M268" t="s">
        <v>29</v>
      </c>
      <c r="N268" t="s">
        <v>43</v>
      </c>
      <c r="O268">
        <f t="shared" si="4"/>
        <v>24.746382724107917</v>
      </c>
    </row>
    <row r="269" spans="1:15" x14ac:dyDescent="0.3">
      <c r="A269" t="s">
        <v>626</v>
      </c>
      <c r="B269" t="s">
        <v>627</v>
      </c>
      <c r="C269" t="s">
        <v>438</v>
      </c>
      <c r="D269" t="s">
        <v>34</v>
      </c>
      <c r="E269" t="s">
        <v>73</v>
      </c>
      <c r="F269" t="s">
        <v>41</v>
      </c>
      <c r="G269">
        <v>37</v>
      </c>
      <c r="H269">
        <v>16.82</v>
      </c>
      <c r="I269">
        <v>622.34</v>
      </c>
      <c r="J269">
        <v>32.9</v>
      </c>
      <c r="K269">
        <v>117.69</v>
      </c>
      <c r="L269" t="s">
        <v>42</v>
      </c>
      <c r="M269" t="s">
        <v>29</v>
      </c>
      <c r="N269" t="s">
        <v>30</v>
      </c>
      <c r="O269">
        <f t="shared" si="4"/>
        <v>18.910884725391263</v>
      </c>
    </row>
    <row r="270" spans="1:15" x14ac:dyDescent="0.3">
      <c r="A270" t="s">
        <v>628</v>
      </c>
      <c r="B270" t="s">
        <v>629</v>
      </c>
      <c r="C270" t="s">
        <v>57</v>
      </c>
      <c r="D270" t="s">
        <v>34</v>
      </c>
      <c r="E270" t="s">
        <v>40</v>
      </c>
      <c r="F270" t="s">
        <v>41</v>
      </c>
      <c r="G270">
        <v>18</v>
      </c>
      <c r="H270">
        <v>54.62</v>
      </c>
      <c r="I270">
        <v>983.16</v>
      </c>
      <c r="J270">
        <v>22.61</v>
      </c>
      <c r="K270">
        <v>384.55</v>
      </c>
      <c r="L270" t="s">
        <v>42</v>
      </c>
      <c r="M270" t="s">
        <v>29</v>
      </c>
      <c r="N270" t="s">
        <v>30</v>
      </c>
      <c r="O270">
        <f t="shared" si="4"/>
        <v>39.113674274787428</v>
      </c>
    </row>
    <row r="271" spans="1:15" x14ac:dyDescent="0.3">
      <c r="A271" t="s">
        <v>630</v>
      </c>
      <c r="B271" t="s">
        <v>631</v>
      </c>
      <c r="C271" t="s">
        <v>136</v>
      </c>
      <c r="D271" t="s">
        <v>34</v>
      </c>
      <c r="E271" t="s">
        <v>73</v>
      </c>
      <c r="F271" t="s">
        <v>41</v>
      </c>
      <c r="G271">
        <v>30</v>
      </c>
      <c r="H271">
        <v>22.83</v>
      </c>
      <c r="I271">
        <v>684.9</v>
      </c>
      <c r="J271">
        <v>32.31</v>
      </c>
      <c r="K271">
        <v>270.08999999999997</v>
      </c>
      <c r="L271" t="s">
        <v>20</v>
      </c>
      <c r="M271" t="s">
        <v>29</v>
      </c>
      <c r="N271" t="s">
        <v>30</v>
      </c>
      <c r="O271">
        <f t="shared" si="4"/>
        <v>39.434954007884357</v>
      </c>
    </row>
    <row r="272" spans="1:15" x14ac:dyDescent="0.3">
      <c r="A272" t="s">
        <v>632</v>
      </c>
      <c r="B272" t="s">
        <v>355</v>
      </c>
      <c r="C272" t="s">
        <v>633</v>
      </c>
      <c r="D272" t="s">
        <v>137</v>
      </c>
      <c r="E272" t="s">
        <v>40</v>
      </c>
      <c r="F272" t="s">
        <v>41</v>
      </c>
      <c r="G272">
        <v>39</v>
      </c>
      <c r="H272">
        <v>47.02</v>
      </c>
      <c r="I272">
        <v>1833.78</v>
      </c>
      <c r="J272">
        <v>50.01</v>
      </c>
      <c r="K272">
        <v>535.77</v>
      </c>
      <c r="L272" t="s">
        <v>42</v>
      </c>
      <c r="M272" t="s">
        <v>29</v>
      </c>
      <c r="N272" t="s">
        <v>30</v>
      </c>
      <c r="O272">
        <f t="shared" si="4"/>
        <v>29.216699931289469</v>
      </c>
    </row>
    <row r="273" spans="1:15" x14ac:dyDescent="0.3">
      <c r="A273" t="s">
        <v>634</v>
      </c>
      <c r="B273" t="s">
        <v>635</v>
      </c>
      <c r="C273" t="s">
        <v>111</v>
      </c>
      <c r="D273" t="s">
        <v>17</v>
      </c>
      <c r="E273" t="s">
        <v>103</v>
      </c>
      <c r="F273" t="s">
        <v>59</v>
      </c>
      <c r="G273">
        <v>22</v>
      </c>
      <c r="H273">
        <v>43.32</v>
      </c>
      <c r="I273">
        <v>953.04</v>
      </c>
      <c r="J273">
        <v>71.3</v>
      </c>
      <c r="K273">
        <v>265.74</v>
      </c>
      <c r="L273" t="s">
        <v>28</v>
      </c>
      <c r="M273" t="s">
        <v>35</v>
      </c>
      <c r="N273" t="s">
        <v>22</v>
      </c>
      <c r="O273">
        <f t="shared" si="4"/>
        <v>27.883404683958702</v>
      </c>
    </row>
    <row r="274" spans="1:15" x14ac:dyDescent="0.3">
      <c r="A274" t="s">
        <v>636</v>
      </c>
      <c r="B274" t="s">
        <v>637</v>
      </c>
      <c r="C274" t="s">
        <v>442</v>
      </c>
      <c r="D274" t="s">
        <v>93</v>
      </c>
      <c r="E274" t="s">
        <v>58</v>
      </c>
      <c r="F274" t="s">
        <v>59</v>
      </c>
      <c r="G274">
        <v>6</v>
      </c>
      <c r="H274">
        <v>31.69</v>
      </c>
      <c r="I274">
        <v>190.14</v>
      </c>
      <c r="J274">
        <v>12.52</v>
      </c>
      <c r="K274">
        <v>42.62</v>
      </c>
      <c r="L274" t="s">
        <v>42</v>
      </c>
      <c r="M274" t="s">
        <v>29</v>
      </c>
      <c r="N274" t="s">
        <v>66</v>
      </c>
      <c r="O274">
        <f t="shared" si="4"/>
        <v>22.415062585463343</v>
      </c>
    </row>
    <row r="275" spans="1:15" x14ac:dyDescent="0.3">
      <c r="A275" t="s">
        <v>638</v>
      </c>
      <c r="B275" t="s">
        <v>639</v>
      </c>
      <c r="C275" t="s">
        <v>284</v>
      </c>
      <c r="D275" t="s">
        <v>207</v>
      </c>
      <c r="E275" t="s">
        <v>18</v>
      </c>
      <c r="F275" t="s">
        <v>19</v>
      </c>
      <c r="G275">
        <v>19</v>
      </c>
      <c r="H275">
        <v>53.28</v>
      </c>
      <c r="I275">
        <v>1012.32</v>
      </c>
      <c r="J275">
        <v>27.24</v>
      </c>
      <c r="K275">
        <v>320.08</v>
      </c>
      <c r="L275" t="s">
        <v>42</v>
      </c>
      <c r="M275" t="s">
        <v>29</v>
      </c>
      <c r="N275" t="s">
        <v>30</v>
      </c>
      <c r="O275">
        <f t="shared" si="4"/>
        <v>31.618460565828983</v>
      </c>
    </row>
    <row r="276" spans="1:15" x14ac:dyDescent="0.3">
      <c r="A276" t="s">
        <v>640</v>
      </c>
      <c r="B276" t="s">
        <v>497</v>
      </c>
      <c r="C276" t="s">
        <v>212</v>
      </c>
      <c r="D276" t="s">
        <v>17</v>
      </c>
      <c r="E276" t="s">
        <v>18</v>
      </c>
      <c r="F276" t="s">
        <v>19</v>
      </c>
      <c r="G276">
        <v>47</v>
      </c>
      <c r="H276">
        <v>47.53</v>
      </c>
      <c r="I276">
        <v>2233.91</v>
      </c>
      <c r="J276">
        <v>128.91</v>
      </c>
      <c r="K276">
        <v>460</v>
      </c>
      <c r="L276" t="s">
        <v>28</v>
      </c>
      <c r="M276" t="s">
        <v>21</v>
      </c>
      <c r="N276" t="s">
        <v>22</v>
      </c>
      <c r="O276">
        <f t="shared" si="4"/>
        <v>20.591697964555422</v>
      </c>
    </row>
    <row r="277" spans="1:15" x14ac:dyDescent="0.3">
      <c r="A277" t="s">
        <v>641</v>
      </c>
      <c r="B277" t="s">
        <v>642</v>
      </c>
      <c r="C277" t="s">
        <v>422</v>
      </c>
      <c r="D277" t="s">
        <v>82</v>
      </c>
      <c r="E277" t="s">
        <v>54</v>
      </c>
      <c r="F277" t="s">
        <v>41</v>
      </c>
      <c r="G277">
        <v>12</v>
      </c>
      <c r="H277">
        <v>24.02</v>
      </c>
      <c r="I277">
        <v>288.24</v>
      </c>
      <c r="J277">
        <v>9.8000000000000007</v>
      </c>
      <c r="K277">
        <v>38.44</v>
      </c>
      <c r="L277" t="s">
        <v>20</v>
      </c>
      <c r="M277" t="s">
        <v>35</v>
      </c>
      <c r="N277" t="s">
        <v>66</v>
      </c>
      <c r="O277">
        <f t="shared" si="4"/>
        <v>13.3361087982237</v>
      </c>
    </row>
    <row r="278" spans="1:15" x14ac:dyDescent="0.3">
      <c r="A278" t="s">
        <v>643</v>
      </c>
      <c r="B278" t="s">
        <v>544</v>
      </c>
      <c r="C278" t="s">
        <v>541</v>
      </c>
      <c r="D278" t="s">
        <v>82</v>
      </c>
      <c r="E278" t="s">
        <v>73</v>
      </c>
      <c r="F278" t="s">
        <v>41</v>
      </c>
      <c r="G278">
        <v>32</v>
      </c>
      <c r="H278">
        <v>15.64</v>
      </c>
      <c r="I278">
        <v>500.48</v>
      </c>
      <c r="J278">
        <v>24.69</v>
      </c>
      <c r="K278">
        <v>67.790000000000006</v>
      </c>
      <c r="L278" t="s">
        <v>42</v>
      </c>
      <c r="M278" t="s">
        <v>21</v>
      </c>
      <c r="N278" t="s">
        <v>66</v>
      </c>
      <c r="O278">
        <f t="shared" si="4"/>
        <v>13.544996803069054</v>
      </c>
    </row>
    <row r="279" spans="1:15" x14ac:dyDescent="0.3">
      <c r="A279" t="s">
        <v>644</v>
      </c>
      <c r="B279" t="s">
        <v>462</v>
      </c>
      <c r="C279" t="s">
        <v>348</v>
      </c>
      <c r="D279" t="s">
        <v>172</v>
      </c>
      <c r="E279" t="s">
        <v>40</v>
      </c>
      <c r="F279" t="s">
        <v>41</v>
      </c>
      <c r="G279">
        <v>22</v>
      </c>
      <c r="H279">
        <v>42.54</v>
      </c>
      <c r="I279">
        <v>935.88</v>
      </c>
      <c r="J279">
        <v>45.37</v>
      </c>
      <c r="K279">
        <v>186.51</v>
      </c>
      <c r="L279" t="s">
        <v>20</v>
      </c>
      <c r="M279" t="s">
        <v>35</v>
      </c>
      <c r="N279" t="s">
        <v>173</v>
      </c>
      <c r="O279">
        <f t="shared" si="4"/>
        <v>19.928837030388511</v>
      </c>
    </row>
    <row r="280" spans="1:15" x14ac:dyDescent="0.3">
      <c r="A280" t="s">
        <v>645</v>
      </c>
      <c r="B280" t="s">
        <v>646</v>
      </c>
      <c r="C280" t="s">
        <v>466</v>
      </c>
      <c r="D280" t="s">
        <v>249</v>
      </c>
      <c r="E280" t="s">
        <v>64</v>
      </c>
      <c r="F280" t="s">
        <v>65</v>
      </c>
      <c r="G280">
        <v>37</v>
      </c>
      <c r="H280">
        <v>43.55</v>
      </c>
      <c r="I280">
        <v>1611.35</v>
      </c>
      <c r="J280">
        <v>67.78</v>
      </c>
      <c r="K280">
        <v>618.57000000000005</v>
      </c>
      <c r="L280" t="s">
        <v>28</v>
      </c>
      <c r="M280" t="s">
        <v>29</v>
      </c>
      <c r="N280" t="s">
        <v>66</v>
      </c>
      <c r="O280">
        <f t="shared" si="4"/>
        <v>38.388307940546753</v>
      </c>
    </row>
    <row r="281" spans="1:15" x14ac:dyDescent="0.3">
      <c r="A281" t="s">
        <v>647</v>
      </c>
      <c r="B281" t="s">
        <v>316</v>
      </c>
      <c r="C281" t="s">
        <v>148</v>
      </c>
      <c r="D281" t="s">
        <v>39</v>
      </c>
      <c r="E281" t="s">
        <v>69</v>
      </c>
      <c r="F281" t="s">
        <v>59</v>
      </c>
      <c r="G281">
        <v>42</v>
      </c>
      <c r="H281">
        <v>20.260000000000002</v>
      </c>
      <c r="I281">
        <v>850.92</v>
      </c>
      <c r="J281">
        <v>22.43</v>
      </c>
      <c r="K281">
        <v>177.49</v>
      </c>
      <c r="L281" t="s">
        <v>42</v>
      </c>
      <c r="M281" t="s">
        <v>35</v>
      </c>
      <c r="N281" t="s">
        <v>43</v>
      </c>
      <c r="O281">
        <f t="shared" si="4"/>
        <v>20.85860010341748</v>
      </c>
    </row>
    <row r="282" spans="1:15" x14ac:dyDescent="0.3">
      <c r="A282" t="s">
        <v>648</v>
      </c>
      <c r="B282" t="s">
        <v>649</v>
      </c>
      <c r="C282" t="s">
        <v>79</v>
      </c>
      <c r="D282" t="s">
        <v>47</v>
      </c>
      <c r="E282" t="s">
        <v>27</v>
      </c>
      <c r="F282" t="s">
        <v>19</v>
      </c>
      <c r="G282">
        <v>43</v>
      </c>
      <c r="H282">
        <v>24.08</v>
      </c>
      <c r="I282">
        <v>1035.44</v>
      </c>
      <c r="J282">
        <v>35.07</v>
      </c>
      <c r="K282">
        <v>226.37</v>
      </c>
      <c r="L282" t="s">
        <v>28</v>
      </c>
      <c r="M282" t="s">
        <v>35</v>
      </c>
      <c r="N282" t="s">
        <v>22</v>
      </c>
      <c r="O282">
        <f t="shared" si="4"/>
        <v>21.862203507687553</v>
      </c>
    </row>
    <row r="283" spans="1:15" x14ac:dyDescent="0.3">
      <c r="A283" t="s">
        <v>650</v>
      </c>
      <c r="B283" t="s">
        <v>333</v>
      </c>
      <c r="C283" t="s">
        <v>438</v>
      </c>
      <c r="D283" t="s">
        <v>207</v>
      </c>
      <c r="E283" t="s">
        <v>48</v>
      </c>
      <c r="F283" t="s">
        <v>49</v>
      </c>
      <c r="G283">
        <v>14</v>
      </c>
      <c r="H283">
        <v>69.010000000000005</v>
      </c>
      <c r="I283">
        <v>966.14</v>
      </c>
      <c r="J283">
        <v>32.67</v>
      </c>
      <c r="K283">
        <v>373.47</v>
      </c>
      <c r="L283" t="s">
        <v>28</v>
      </c>
      <c r="M283" t="s">
        <v>21</v>
      </c>
      <c r="N283" t="s">
        <v>30</v>
      </c>
      <c r="O283">
        <f t="shared" si="4"/>
        <v>38.655888380565969</v>
      </c>
    </row>
    <row r="284" spans="1:15" x14ac:dyDescent="0.3">
      <c r="A284" t="s">
        <v>651</v>
      </c>
      <c r="B284" t="s">
        <v>402</v>
      </c>
      <c r="C284" t="s">
        <v>154</v>
      </c>
      <c r="D284" t="s">
        <v>172</v>
      </c>
      <c r="E284" t="s">
        <v>54</v>
      </c>
      <c r="F284" t="s">
        <v>41</v>
      </c>
      <c r="G284">
        <v>29</v>
      </c>
      <c r="H284">
        <v>28.29</v>
      </c>
      <c r="I284">
        <v>820.41</v>
      </c>
      <c r="J284">
        <v>63.15</v>
      </c>
      <c r="K284">
        <v>177.26</v>
      </c>
      <c r="L284" t="s">
        <v>42</v>
      </c>
      <c r="M284" t="s">
        <v>35</v>
      </c>
      <c r="N284" t="s">
        <v>173</v>
      </c>
      <c r="O284">
        <f t="shared" si="4"/>
        <v>21.606270035713852</v>
      </c>
    </row>
    <row r="285" spans="1:15" x14ac:dyDescent="0.3">
      <c r="A285" t="s">
        <v>652</v>
      </c>
      <c r="B285" t="s">
        <v>653</v>
      </c>
      <c r="C285" t="s">
        <v>319</v>
      </c>
      <c r="D285" t="s">
        <v>53</v>
      </c>
      <c r="E285" t="s">
        <v>69</v>
      </c>
      <c r="F285" t="s">
        <v>59</v>
      </c>
      <c r="G285">
        <v>29</v>
      </c>
      <c r="H285">
        <v>26.51</v>
      </c>
      <c r="I285">
        <v>768.79</v>
      </c>
      <c r="J285">
        <v>15.66</v>
      </c>
      <c r="K285">
        <v>303.63</v>
      </c>
      <c r="L285" t="s">
        <v>28</v>
      </c>
      <c r="M285" t="s">
        <v>21</v>
      </c>
      <c r="N285" t="s">
        <v>22</v>
      </c>
      <c r="O285">
        <f t="shared" si="4"/>
        <v>39.494530365899664</v>
      </c>
    </row>
    <row r="286" spans="1:15" x14ac:dyDescent="0.3">
      <c r="A286" t="s">
        <v>654</v>
      </c>
      <c r="B286" t="s">
        <v>655</v>
      </c>
      <c r="C286" t="s">
        <v>160</v>
      </c>
      <c r="D286" t="s">
        <v>47</v>
      </c>
      <c r="E286" t="s">
        <v>18</v>
      </c>
      <c r="F286" t="s">
        <v>19</v>
      </c>
      <c r="G286">
        <v>11</v>
      </c>
      <c r="H286">
        <v>58.07</v>
      </c>
      <c r="I286">
        <v>638.77</v>
      </c>
      <c r="J286">
        <v>43.89</v>
      </c>
      <c r="K286">
        <v>209.88</v>
      </c>
      <c r="L286" t="s">
        <v>20</v>
      </c>
      <c r="M286" t="s">
        <v>29</v>
      </c>
      <c r="N286" t="s">
        <v>22</v>
      </c>
      <c r="O286">
        <f t="shared" si="4"/>
        <v>32.85689684863096</v>
      </c>
    </row>
    <row r="287" spans="1:15" x14ac:dyDescent="0.3">
      <c r="A287" t="s">
        <v>656</v>
      </c>
      <c r="B287" t="s">
        <v>503</v>
      </c>
      <c r="C287" t="s">
        <v>143</v>
      </c>
      <c r="D287" t="s">
        <v>26</v>
      </c>
      <c r="E287" t="s">
        <v>40</v>
      </c>
      <c r="F287" t="s">
        <v>41</v>
      </c>
      <c r="G287">
        <v>3</v>
      </c>
      <c r="H287">
        <v>48.76</v>
      </c>
      <c r="I287">
        <v>146.28</v>
      </c>
      <c r="J287">
        <v>10.45</v>
      </c>
      <c r="K287">
        <v>39.83</v>
      </c>
      <c r="L287" t="s">
        <v>42</v>
      </c>
      <c r="M287" t="s">
        <v>29</v>
      </c>
      <c r="N287" t="s">
        <v>30</v>
      </c>
      <c r="O287">
        <f t="shared" si="4"/>
        <v>27.228602679792179</v>
      </c>
    </row>
    <row r="288" spans="1:15" x14ac:dyDescent="0.3">
      <c r="A288" t="s">
        <v>657</v>
      </c>
      <c r="B288" t="s">
        <v>658</v>
      </c>
      <c r="C288" t="s">
        <v>223</v>
      </c>
      <c r="D288" t="s">
        <v>249</v>
      </c>
      <c r="E288" t="s">
        <v>54</v>
      </c>
      <c r="F288" t="s">
        <v>41</v>
      </c>
      <c r="G288">
        <v>49</v>
      </c>
      <c r="H288">
        <v>30.46</v>
      </c>
      <c r="I288">
        <v>1492.54</v>
      </c>
      <c r="J288">
        <v>51.82</v>
      </c>
      <c r="K288">
        <v>460.72</v>
      </c>
      <c r="L288" t="s">
        <v>28</v>
      </c>
      <c r="M288" t="s">
        <v>21</v>
      </c>
      <c r="N288" t="s">
        <v>66</v>
      </c>
      <c r="O288">
        <f t="shared" si="4"/>
        <v>30.868184437268013</v>
      </c>
    </row>
    <row r="289" spans="1:15" x14ac:dyDescent="0.3">
      <c r="A289" t="s">
        <v>659</v>
      </c>
      <c r="B289" t="s">
        <v>97</v>
      </c>
      <c r="C289" t="s">
        <v>33</v>
      </c>
      <c r="D289" t="s">
        <v>63</v>
      </c>
      <c r="E289" t="s">
        <v>103</v>
      </c>
      <c r="F289" t="s">
        <v>59</v>
      </c>
      <c r="G289">
        <v>25</v>
      </c>
      <c r="H289">
        <v>35.21</v>
      </c>
      <c r="I289">
        <v>880.25</v>
      </c>
      <c r="J289">
        <v>39.799999999999997</v>
      </c>
      <c r="K289">
        <v>140.44999999999999</v>
      </c>
      <c r="L289" t="s">
        <v>42</v>
      </c>
      <c r="M289" t="s">
        <v>29</v>
      </c>
      <c r="N289" t="s">
        <v>66</v>
      </c>
      <c r="O289">
        <f t="shared" si="4"/>
        <v>15.95569440499858</v>
      </c>
    </row>
    <row r="290" spans="1:15" x14ac:dyDescent="0.3">
      <c r="A290" t="s">
        <v>660</v>
      </c>
      <c r="B290" t="s">
        <v>661</v>
      </c>
      <c r="C290" t="s">
        <v>319</v>
      </c>
      <c r="D290" t="s">
        <v>17</v>
      </c>
      <c r="E290" t="s">
        <v>103</v>
      </c>
      <c r="F290" t="s">
        <v>59</v>
      </c>
      <c r="G290">
        <v>37</v>
      </c>
      <c r="H290">
        <v>44.82</v>
      </c>
      <c r="I290">
        <v>1658.34</v>
      </c>
      <c r="J290">
        <v>65.75</v>
      </c>
      <c r="K290">
        <v>556.59</v>
      </c>
      <c r="L290" t="s">
        <v>28</v>
      </c>
      <c r="M290" t="s">
        <v>29</v>
      </c>
      <c r="N290" t="s">
        <v>22</v>
      </c>
      <c r="O290">
        <f t="shared" si="4"/>
        <v>33.563081153442603</v>
      </c>
    </row>
    <row r="291" spans="1:15" x14ac:dyDescent="0.3">
      <c r="A291" t="s">
        <v>662</v>
      </c>
      <c r="B291" t="s">
        <v>663</v>
      </c>
      <c r="C291" t="s">
        <v>452</v>
      </c>
      <c r="D291" t="s">
        <v>207</v>
      </c>
      <c r="E291" t="s">
        <v>69</v>
      </c>
      <c r="F291" t="s">
        <v>59</v>
      </c>
      <c r="G291">
        <v>11</v>
      </c>
      <c r="H291">
        <v>18.75</v>
      </c>
      <c r="I291">
        <v>206.25</v>
      </c>
      <c r="J291">
        <v>11.67</v>
      </c>
      <c r="K291">
        <v>24.08</v>
      </c>
      <c r="L291" t="s">
        <v>20</v>
      </c>
      <c r="M291" t="s">
        <v>21</v>
      </c>
      <c r="N291" t="s">
        <v>30</v>
      </c>
      <c r="O291">
        <f t="shared" si="4"/>
        <v>11.675151515151514</v>
      </c>
    </row>
    <row r="292" spans="1:15" x14ac:dyDescent="0.3">
      <c r="A292" t="s">
        <v>664</v>
      </c>
      <c r="B292" t="s">
        <v>455</v>
      </c>
      <c r="C292" t="s">
        <v>319</v>
      </c>
      <c r="D292" t="s">
        <v>39</v>
      </c>
      <c r="E292" t="s">
        <v>54</v>
      </c>
      <c r="F292" t="s">
        <v>41</v>
      </c>
      <c r="G292">
        <v>37</v>
      </c>
      <c r="H292">
        <v>31.66</v>
      </c>
      <c r="I292">
        <v>1171.42</v>
      </c>
      <c r="J292">
        <v>58.95</v>
      </c>
      <c r="K292">
        <v>372.47</v>
      </c>
      <c r="L292" t="s">
        <v>42</v>
      </c>
      <c r="M292" t="s">
        <v>21</v>
      </c>
      <c r="N292" t="s">
        <v>43</v>
      </c>
      <c r="O292">
        <f t="shared" si="4"/>
        <v>31.796452169162215</v>
      </c>
    </row>
    <row r="293" spans="1:15" x14ac:dyDescent="0.3">
      <c r="A293" t="s">
        <v>665</v>
      </c>
      <c r="B293" t="s">
        <v>666</v>
      </c>
      <c r="C293" t="s">
        <v>442</v>
      </c>
      <c r="D293" t="s">
        <v>26</v>
      </c>
      <c r="E293" t="s">
        <v>54</v>
      </c>
      <c r="F293" t="s">
        <v>41</v>
      </c>
      <c r="G293">
        <v>17</v>
      </c>
      <c r="H293">
        <v>32.74</v>
      </c>
      <c r="I293">
        <v>556.58000000000004</v>
      </c>
      <c r="J293">
        <v>14.68</v>
      </c>
      <c r="K293">
        <v>201.9</v>
      </c>
      <c r="L293" t="s">
        <v>28</v>
      </c>
      <c r="M293" t="s">
        <v>29</v>
      </c>
      <c r="N293" t="s">
        <v>30</v>
      </c>
      <c r="O293">
        <f t="shared" si="4"/>
        <v>36.275108699558011</v>
      </c>
    </row>
    <row r="294" spans="1:15" x14ac:dyDescent="0.3">
      <c r="A294" t="s">
        <v>667</v>
      </c>
      <c r="B294" t="s">
        <v>668</v>
      </c>
      <c r="C294" t="s">
        <v>79</v>
      </c>
      <c r="D294" t="s">
        <v>17</v>
      </c>
      <c r="E294" t="s">
        <v>103</v>
      </c>
      <c r="F294" t="s">
        <v>59</v>
      </c>
      <c r="G294">
        <v>7</v>
      </c>
      <c r="H294">
        <v>46.64</v>
      </c>
      <c r="I294">
        <v>326.48</v>
      </c>
      <c r="J294">
        <v>25.19</v>
      </c>
      <c r="K294">
        <v>105.29</v>
      </c>
      <c r="L294" t="s">
        <v>28</v>
      </c>
      <c r="M294" t="s">
        <v>35</v>
      </c>
      <c r="N294" t="s">
        <v>22</v>
      </c>
      <c r="O294">
        <f t="shared" si="4"/>
        <v>32.250061259495219</v>
      </c>
    </row>
    <row r="295" spans="1:15" x14ac:dyDescent="0.3">
      <c r="A295" t="s">
        <v>669</v>
      </c>
      <c r="B295" t="s">
        <v>670</v>
      </c>
      <c r="C295" t="s">
        <v>182</v>
      </c>
      <c r="D295" t="s">
        <v>89</v>
      </c>
      <c r="E295" t="s">
        <v>27</v>
      </c>
      <c r="F295" t="s">
        <v>19</v>
      </c>
      <c r="G295">
        <v>16</v>
      </c>
      <c r="H295">
        <v>24.77</v>
      </c>
      <c r="I295">
        <v>396.32</v>
      </c>
      <c r="J295">
        <v>15.6</v>
      </c>
      <c r="K295">
        <v>92.72</v>
      </c>
      <c r="L295" t="s">
        <v>20</v>
      </c>
      <c r="M295" t="s">
        <v>35</v>
      </c>
      <c r="N295" t="s">
        <v>66</v>
      </c>
      <c r="O295">
        <f t="shared" si="4"/>
        <v>23.395236172789666</v>
      </c>
    </row>
    <row r="296" spans="1:15" x14ac:dyDescent="0.3">
      <c r="A296" t="s">
        <v>671</v>
      </c>
      <c r="B296" t="s">
        <v>373</v>
      </c>
      <c r="C296" t="s">
        <v>72</v>
      </c>
      <c r="D296" t="s">
        <v>53</v>
      </c>
      <c r="E296" t="s">
        <v>48</v>
      </c>
      <c r="F296" t="s">
        <v>49</v>
      </c>
      <c r="G296">
        <v>39</v>
      </c>
      <c r="H296">
        <v>56.5</v>
      </c>
      <c r="I296">
        <v>2203.5</v>
      </c>
      <c r="J296">
        <v>141.58000000000001</v>
      </c>
      <c r="K296">
        <v>501.92</v>
      </c>
      <c r="L296" t="s">
        <v>42</v>
      </c>
      <c r="M296" t="s">
        <v>21</v>
      </c>
      <c r="N296" t="s">
        <v>22</v>
      </c>
      <c r="O296">
        <f t="shared" si="4"/>
        <v>22.778307238484231</v>
      </c>
    </row>
    <row r="297" spans="1:15" x14ac:dyDescent="0.3">
      <c r="A297" t="s">
        <v>672</v>
      </c>
      <c r="B297" t="s">
        <v>673</v>
      </c>
      <c r="C297" t="s">
        <v>541</v>
      </c>
      <c r="D297" t="s">
        <v>249</v>
      </c>
      <c r="E297" t="s">
        <v>69</v>
      </c>
      <c r="F297" t="s">
        <v>59</v>
      </c>
      <c r="G297">
        <v>1</v>
      </c>
      <c r="H297">
        <v>24.01</v>
      </c>
      <c r="I297">
        <v>24.01</v>
      </c>
      <c r="J297">
        <v>1.58</v>
      </c>
      <c r="K297">
        <v>6.93</v>
      </c>
      <c r="L297" t="s">
        <v>20</v>
      </c>
      <c r="M297" t="s">
        <v>21</v>
      </c>
      <c r="N297" t="s">
        <v>66</v>
      </c>
      <c r="O297">
        <f t="shared" si="4"/>
        <v>28.862973760932942</v>
      </c>
    </row>
    <row r="298" spans="1:15" x14ac:dyDescent="0.3">
      <c r="A298" t="s">
        <v>674</v>
      </c>
      <c r="B298" t="s">
        <v>153</v>
      </c>
      <c r="C298" t="s">
        <v>128</v>
      </c>
      <c r="D298" t="s">
        <v>249</v>
      </c>
      <c r="E298" t="s">
        <v>64</v>
      </c>
      <c r="F298" t="s">
        <v>65</v>
      </c>
      <c r="G298">
        <v>45</v>
      </c>
      <c r="H298">
        <v>35.99</v>
      </c>
      <c r="I298">
        <v>1619.55</v>
      </c>
      <c r="J298">
        <v>49.95</v>
      </c>
      <c r="K298">
        <v>444.6</v>
      </c>
      <c r="L298" t="s">
        <v>20</v>
      </c>
      <c r="M298" t="s">
        <v>29</v>
      </c>
      <c r="N298" t="s">
        <v>66</v>
      </c>
      <c r="O298">
        <f t="shared" si="4"/>
        <v>27.452070019449849</v>
      </c>
    </row>
    <row r="299" spans="1:15" x14ac:dyDescent="0.3">
      <c r="A299" t="s">
        <v>675</v>
      </c>
      <c r="B299" t="s">
        <v>270</v>
      </c>
      <c r="C299" t="s">
        <v>232</v>
      </c>
      <c r="D299" t="s">
        <v>82</v>
      </c>
      <c r="E299" t="s">
        <v>54</v>
      </c>
      <c r="F299" t="s">
        <v>41</v>
      </c>
      <c r="G299">
        <v>5</v>
      </c>
      <c r="H299">
        <v>25.45</v>
      </c>
      <c r="I299">
        <v>127.25</v>
      </c>
      <c r="J299">
        <v>7.22</v>
      </c>
      <c r="K299">
        <v>20.03</v>
      </c>
      <c r="L299" t="s">
        <v>42</v>
      </c>
      <c r="M299" t="s">
        <v>35</v>
      </c>
      <c r="N299" t="s">
        <v>66</v>
      </c>
      <c r="O299">
        <f t="shared" si="4"/>
        <v>15.740667976424364</v>
      </c>
    </row>
    <row r="300" spans="1:15" x14ac:dyDescent="0.3">
      <c r="A300" t="s">
        <v>676</v>
      </c>
      <c r="B300" t="s">
        <v>362</v>
      </c>
      <c r="C300" t="s">
        <v>128</v>
      </c>
      <c r="D300" t="s">
        <v>93</v>
      </c>
      <c r="E300" t="s">
        <v>69</v>
      </c>
      <c r="F300" t="s">
        <v>59</v>
      </c>
      <c r="G300">
        <v>24</v>
      </c>
      <c r="H300">
        <v>19.53</v>
      </c>
      <c r="I300">
        <v>468.72</v>
      </c>
      <c r="J300">
        <v>14.12</v>
      </c>
      <c r="K300">
        <v>82.6</v>
      </c>
      <c r="L300" t="s">
        <v>20</v>
      </c>
      <c r="M300" t="s">
        <v>21</v>
      </c>
      <c r="N300" t="s">
        <v>66</v>
      </c>
      <c r="O300">
        <f t="shared" si="4"/>
        <v>17.622461170848265</v>
      </c>
    </row>
    <row r="301" spans="1:15" x14ac:dyDescent="0.3">
      <c r="A301" t="s">
        <v>677</v>
      </c>
      <c r="B301" t="s">
        <v>130</v>
      </c>
      <c r="C301" t="s">
        <v>25</v>
      </c>
      <c r="D301" t="s">
        <v>47</v>
      </c>
      <c r="E301" t="s">
        <v>73</v>
      </c>
      <c r="F301" t="s">
        <v>41</v>
      </c>
      <c r="G301">
        <v>28</v>
      </c>
      <c r="H301">
        <v>22.33</v>
      </c>
      <c r="I301">
        <v>625.24</v>
      </c>
      <c r="J301">
        <v>44.24</v>
      </c>
      <c r="K301">
        <v>224</v>
      </c>
      <c r="L301" t="s">
        <v>20</v>
      </c>
      <c r="M301" t="s">
        <v>21</v>
      </c>
      <c r="N301" t="s">
        <v>22</v>
      </c>
      <c r="O301">
        <f t="shared" si="4"/>
        <v>35.826242722794447</v>
      </c>
    </row>
    <row r="302" spans="1:15" x14ac:dyDescent="0.3">
      <c r="A302" t="s">
        <v>678</v>
      </c>
      <c r="B302" t="s">
        <v>679</v>
      </c>
      <c r="C302" t="s">
        <v>114</v>
      </c>
      <c r="D302" t="s">
        <v>34</v>
      </c>
      <c r="E302" t="s">
        <v>40</v>
      </c>
      <c r="F302" t="s">
        <v>41</v>
      </c>
      <c r="G302">
        <v>49</v>
      </c>
      <c r="H302">
        <v>39.31</v>
      </c>
      <c r="I302">
        <v>1926.19</v>
      </c>
      <c r="J302">
        <v>69.7</v>
      </c>
      <c r="K302">
        <v>288.49</v>
      </c>
      <c r="L302" t="s">
        <v>28</v>
      </c>
      <c r="M302" t="s">
        <v>21</v>
      </c>
      <c r="N302" t="s">
        <v>30</v>
      </c>
      <c r="O302">
        <f t="shared" si="4"/>
        <v>14.977234852221224</v>
      </c>
    </row>
    <row r="303" spans="1:15" x14ac:dyDescent="0.3">
      <c r="A303" t="s">
        <v>680</v>
      </c>
      <c r="B303" t="s">
        <v>681</v>
      </c>
      <c r="C303" t="s">
        <v>257</v>
      </c>
      <c r="D303" t="s">
        <v>249</v>
      </c>
      <c r="E303" t="s">
        <v>69</v>
      </c>
      <c r="F303" t="s">
        <v>59</v>
      </c>
      <c r="G303">
        <v>6</v>
      </c>
      <c r="H303">
        <v>22.95</v>
      </c>
      <c r="I303">
        <v>137.69999999999999</v>
      </c>
      <c r="J303">
        <v>5.63</v>
      </c>
      <c r="K303">
        <v>39.07</v>
      </c>
      <c r="L303" t="s">
        <v>28</v>
      </c>
      <c r="M303" t="s">
        <v>29</v>
      </c>
      <c r="N303" t="s">
        <v>66</v>
      </c>
      <c r="O303">
        <f t="shared" si="4"/>
        <v>28.373275236020334</v>
      </c>
    </row>
    <row r="304" spans="1:15" x14ac:dyDescent="0.3">
      <c r="A304" t="s">
        <v>682</v>
      </c>
      <c r="B304" t="s">
        <v>579</v>
      </c>
      <c r="C304" t="s">
        <v>212</v>
      </c>
      <c r="D304" t="s">
        <v>53</v>
      </c>
      <c r="E304" t="s">
        <v>54</v>
      </c>
      <c r="F304" t="s">
        <v>41</v>
      </c>
      <c r="G304">
        <v>35</v>
      </c>
      <c r="H304">
        <v>27.72</v>
      </c>
      <c r="I304">
        <v>970.2</v>
      </c>
      <c r="J304">
        <v>61.74</v>
      </c>
      <c r="K304">
        <v>208.46</v>
      </c>
      <c r="L304" t="s">
        <v>20</v>
      </c>
      <c r="M304" t="s">
        <v>35</v>
      </c>
      <c r="N304" t="s">
        <v>22</v>
      </c>
      <c r="O304">
        <f t="shared" si="4"/>
        <v>21.486291486291485</v>
      </c>
    </row>
    <row r="305" spans="1:15" x14ac:dyDescent="0.3">
      <c r="A305" t="s">
        <v>683</v>
      </c>
      <c r="B305" t="s">
        <v>227</v>
      </c>
      <c r="C305" t="s">
        <v>198</v>
      </c>
      <c r="D305" t="s">
        <v>63</v>
      </c>
      <c r="E305" t="s">
        <v>48</v>
      </c>
      <c r="F305" t="s">
        <v>49</v>
      </c>
      <c r="G305">
        <v>34</v>
      </c>
      <c r="H305">
        <v>64.75</v>
      </c>
      <c r="I305">
        <v>2201.5</v>
      </c>
      <c r="J305">
        <v>68.05</v>
      </c>
      <c r="K305">
        <v>773.45</v>
      </c>
      <c r="L305" t="s">
        <v>42</v>
      </c>
      <c r="M305" t="s">
        <v>35</v>
      </c>
      <c r="N305" t="s">
        <v>66</v>
      </c>
      <c r="O305">
        <f t="shared" si="4"/>
        <v>35.132863956393365</v>
      </c>
    </row>
    <row r="306" spans="1:15" x14ac:dyDescent="0.3">
      <c r="A306" t="s">
        <v>684</v>
      </c>
      <c r="B306" t="s">
        <v>685</v>
      </c>
      <c r="C306" t="s">
        <v>157</v>
      </c>
      <c r="D306" t="s">
        <v>172</v>
      </c>
      <c r="E306" t="s">
        <v>54</v>
      </c>
      <c r="F306" t="s">
        <v>41</v>
      </c>
      <c r="G306">
        <v>49</v>
      </c>
      <c r="H306">
        <v>26.02</v>
      </c>
      <c r="I306">
        <v>1274.98</v>
      </c>
      <c r="J306">
        <v>61.84</v>
      </c>
      <c r="K306">
        <v>233.14</v>
      </c>
      <c r="L306" t="s">
        <v>42</v>
      </c>
      <c r="M306" t="s">
        <v>29</v>
      </c>
      <c r="N306" t="s">
        <v>173</v>
      </c>
      <c r="O306">
        <f t="shared" si="4"/>
        <v>18.285777031796577</v>
      </c>
    </row>
    <row r="307" spans="1:15" x14ac:dyDescent="0.3">
      <c r="A307" t="s">
        <v>686</v>
      </c>
      <c r="B307" t="s">
        <v>229</v>
      </c>
      <c r="C307" t="s">
        <v>358</v>
      </c>
      <c r="D307" t="s">
        <v>39</v>
      </c>
      <c r="E307" t="s">
        <v>64</v>
      </c>
      <c r="F307" t="s">
        <v>65</v>
      </c>
      <c r="G307">
        <v>1</v>
      </c>
      <c r="H307">
        <v>32.979999999999997</v>
      </c>
      <c r="I307">
        <v>32.979999999999997</v>
      </c>
      <c r="J307">
        <v>1.89</v>
      </c>
      <c r="K307">
        <v>6.09</v>
      </c>
      <c r="L307" t="s">
        <v>42</v>
      </c>
      <c r="M307" t="s">
        <v>29</v>
      </c>
      <c r="N307" t="s">
        <v>43</v>
      </c>
      <c r="O307">
        <f t="shared" si="4"/>
        <v>18.465736810187995</v>
      </c>
    </row>
    <row r="308" spans="1:15" x14ac:dyDescent="0.3">
      <c r="A308" t="s">
        <v>687</v>
      </c>
      <c r="B308" t="s">
        <v>261</v>
      </c>
      <c r="C308" t="s">
        <v>466</v>
      </c>
      <c r="D308" t="s">
        <v>39</v>
      </c>
      <c r="E308" t="s">
        <v>73</v>
      </c>
      <c r="F308" t="s">
        <v>41</v>
      </c>
      <c r="G308">
        <v>18</v>
      </c>
      <c r="H308">
        <v>20.09</v>
      </c>
      <c r="I308">
        <v>361.62</v>
      </c>
      <c r="J308">
        <v>8.3800000000000008</v>
      </c>
      <c r="K308">
        <v>123.74</v>
      </c>
      <c r="L308" t="s">
        <v>20</v>
      </c>
      <c r="M308" t="s">
        <v>21</v>
      </c>
      <c r="N308" t="s">
        <v>43</v>
      </c>
      <c r="O308">
        <f t="shared" si="4"/>
        <v>34.218240141585085</v>
      </c>
    </row>
    <row r="309" spans="1:15" x14ac:dyDescent="0.3">
      <c r="A309" t="s">
        <v>688</v>
      </c>
      <c r="B309" t="s">
        <v>646</v>
      </c>
      <c r="C309" t="s">
        <v>232</v>
      </c>
      <c r="D309" t="s">
        <v>249</v>
      </c>
      <c r="E309" t="s">
        <v>18</v>
      </c>
      <c r="F309" t="s">
        <v>19</v>
      </c>
      <c r="G309">
        <v>39</v>
      </c>
      <c r="H309">
        <v>49.59</v>
      </c>
      <c r="I309">
        <v>1934.01</v>
      </c>
      <c r="J309">
        <v>62.79</v>
      </c>
      <c r="K309">
        <v>506.22</v>
      </c>
      <c r="L309" t="s">
        <v>28</v>
      </c>
      <c r="M309" t="s">
        <v>29</v>
      </c>
      <c r="N309" t="s">
        <v>66</v>
      </c>
      <c r="O309">
        <f t="shared" si="4"/>
        <v>26.174631982254486</v>
      </c>
    </row>
    <row r="310" spans="1:15" x14ac:dyDescent="0.3">
      <c r="A310" t="s">
        <v>689</v>
      </c>
      <c r="B310" t="s">
        <v>690</v>
      </c>
      <c r="C310" t="s">
        <v>429</v>
      </c>
      <c r="D310" t="s">
        <v>47</v>
      </c>
      <c r="E310" t="s">
        <v>40</v>
      </c>
      <c r="F310" t="s">
        <v>41</v>
      </c>
      <c r="G310">
        <v>6</v>
      </c>
      <c r="H310">
        <v>41.99</v>
      </c>
      <c r="I310">
        <v>251.94</v>
      </c>
      <c r="J310">
        <v>10.76</v>
      </c>
      <c r="K310">
        <v>49.18</v>
      </c>
      <c r="L310" t="s">
        <v>20</v>
      </c>
      <c r="M310" t="s">
        <v>21</v>
      </c>
      <c r="N310" t="s">
        <v>22</v>
      </c>
      <c r="O310">
        <f t="shared" si="4"/>
        <v>19.520520758910852</v>
      </c>
    </row>
    <row r="311" spans="1:15" x14ac:dyDescent="0.3">
      <c r="A311" t="s">
        <v>691</v>
      </c>
      <c r="B311" t="s">
        <v>209</v>
      </c>
      <c r="C311" t="s">
        <v>79</v>
      </c>
      <c r="D311" t="s">
        <v>82</v>
      </c>
      <c r="E311" t="s">
        <v>18</v>
      </c>
      <c r="F311" t="s">
        <v>19</v>
      </c>
      <c r="G311">
        <v>12</v>
      </c>
      <c r="H311">
        <v>47.4</v>
      </c>
      <c r="I311">
        <v>568.79999999999995</v>
      </c>
      <c r="J311">
        <v>23.31</v>
      </c>
      <c r="K311">
        <v>125.49</v>
      </c>
      <c r="L311" t="s">
        <v>42</v>
      </c>
      <c r="M311" t="s">
        <v>21</v>
      </c>
      <c r="N311" t="s">
        <v>66</v>
      </c>
      <c r="O311">
        <f t="shared" si="4"/>
        <v>22.062236286919831</v>
      </c>
    </row>
    <row r="312" spans="1:15" x14ac:dyDescent="0.3">
      <c r="A312" t="s">
        <v>692</v>
      </c>
      <c r="B312" t="s">
        <v>693</v>
      </c>
      <c r="C312" t="s">
        <v>363</v>
      </c>
      <c r="D312" t="s">
        <v>89</v>
      </c>
      <c r="E312" t="s">
        <v>54</v>
      </c>
      <c r="F312" t="s">
        <v>41</v>
      </c>
      <c r="G312">
        <v>50</v>
      </c>
      <c r="H312">
        <v>34.28</v>
      </c>
      <c r="I312">
        <v>1714</v>
      </c>
      <c r="J312">
        <v>59.84</v>
      </c>
      <c r="K312">
        <v>654.16</v>
      </c>
      <c r="L312" t="s">
        <v>20</v>
      </c>
      <c r="M312" t="s">
        <v>21</v>
      </c>
      <c r="N312" t="s">
        <v>66</v>
      </c>
      <c r="O312">
        <f t="shared" si="4"/>
        <v>38.1656942823804</v>
      </c>
    </row>
    <row r="313" spans="1:15" x14ac:dyDescent="0.3">
      <c r="A313" t="s">
        <v>694</v>
      </c>
      <c r="B313" t="s">
        <v>695</v>
      </c>
      <c r="C313" t="s">
        <v>290</v>
      </c>
      <c r="D313" t="s">
        <v>107</v>
      </c>
      <c r="E313" t="s">
        <v>27</v>
      </c>
      <c r="F313" t="s">
        <v>19</v>
      </c>
      <c r="G313">
        <v>50</v>
      </c>
      <c r="H313">
        <v>29.39</v>
      </c>
      <c r="I313">
        <v>1469.5</v>
      </c>
      <c r="J313">
        <v>101.51</v>
      </c>
      <c r="K313">
        <v>467.99</v>
      </c>
      <c r="L313" t="s">
        <v>42</v>
      </c>
      <c r="M313" t="s">
        <v>35</v>
      </c>
      <c r="N313" t="s">
        <v>108</v>
      </c>
      <c r="O313">
        <f t="shared" si="4"/>
        <v>31.846886696155156</v>
      </c>
    </row>
    <row r="314" spans="1:15" x14ac:dyDescent="0.3">
      <c r="A314" t="s">
        <v>696</v>
      </c>
      <c r="B314" t="s">
        <v>390</v>
      </c>
      <c r="C314" t="s">
        <v>148</v>
      </c>
      <c r="D314" t="s">
        <v>39</v>
      </c>
      <c r="E314" t="s">
        <v>27</v>
      </c>
      <c r="F314" t="s">
        <v>19</v>
      </c>
      <c r="G314">
        <v>46</v>
      </c>
      <c r="H314">
        <v>30.34</v>
      </c>
      <c r="I314">
        <v>1395.64</v>
      </c>
      <c r="J314">
        <v>104.2</v>
      </c>
      <c r="K314">
        <v>463.44</v>
      </c>
      <c r="L314" t="s">
        <v>20</v>
      </c>
      <c r="M314" t="s">
        <v>29</v>
      </c>
      <c r="N314" t="s">
        <v>43</v>
      </c>
      <c r="O314">
        <f t="shared" si="4"/>
        <v>33.20627095812673</v>
      </c>
    </row>
    <row r="315" spans="1:15" x14ac:dyDescent="0.3">
      <c r="A315" t="s">
        <v>697</v>
      </c>
      <c r="B315" t="s">
        <v>698</v>
      </c>
      <c r="C315" t="s">
        <v>699</v>
      </c>
      <c r="D315" t="s">
        <v>82</v>
      </c>
      <c r="E315" t="s">
        <v>73</v>
      </c>
      <c r="F315" t="s">
        <v>41</v>
      </c>
      <c r="G315">
        <v>50</v>
      </c>
      <c r="H315">
        <v>18.809999999999999</v>
      </c>
      <c r="I315">
        <v>940.5</v>
      </c>
      <c r="J315">
        <v>40.25</v>
      </c>
      <c r="K315">
        <v>262.75</v>
      </c>
      <c r="L315" t="s">
        <v>28</v>
      </c>
      <c r="M315" t="s">
        <v>29</v>
      </c>
      <c r="N315" t="s">
        <v>66</v>
      </c>
      <c r="O315">
        <f t="shared" si="4"/>
        <v>27.937267410951623</v>
      </c>
    </row>
    <row r="316" spans="1:15" x14ac:dyDescent="0.3">
      <c r="A316" t="s">
        <v>700</v>
      </c>
      <c r="B316" t="s">
        <v>701</v>
      </c>
      <c r="C316" t="s">
        <v>290</v>
      </c>
      <c r="D316" t="s">
        <v>172</v>
      </c>
      <c r="E316" t="s">
        <v>58</v>
      </c>
      <c r="F316" t="s">
        <v>59</v>
      </c>
      <c r="G316">
        <v>2</v>
      </c>
      <c r="H316">
        <v>29.64</v>
      </c>
      <c r="I316">
        <v>59.28</v>
      </c>
      <c r="J316">
        <v>4.59</v>
      </c>
      <c r="K316">
        <v>9.69</v>
      </c>
      <c r="L316" t="s">
        <v>28</v>
      </c>
      <c r="M316" t="s">
        <v>35</v>
      </c>
      <c r="N316" t="s">
        <v>173</v>
      </c>
      <c r="O316">
        <f t="shared" si="4"/>
        <v>16.346153846153847</v>
      </c>
    </row>
    <row r="317" spans="1:15" x14ac:dyDescent="0.3">
      <c r="A317" t="s">
        <v>702</v>
      </c>
      <c r="B317" t="s">
        <v>703</v>
      </c>
      <c r="C317" t="s">
        <v>541</v>
      </c>
      <c r="D317" t="s">
        <v>82</v>
      </c>
      <c r="E317" t="s">
        <v>58</v>
      </c>
      <c r="F317" t="s">
        <v>59</v>
      </c>
      <c r="G317">
        <v>48</v>
      </c>
      <c r="H317">
        <v>27.9</v>
      </c>
      <c r="I317">
        <v>1339.2</v>
      </c>
      <c r="J317">
        <v>66.31</v>
      </c>
      <c r="K317">
        <v>192.89</v>
      </c>
      <c r="L317" t="s">
        <v>28</v>
      </c>
      <c r="M317" t="s">
        <v>35</v>
      </c>
      <c r="N317" t="s">
        <v>66</v>
      </c>
      <c r="O317">
        <f t="shared" si="4"/>
        <v>14.403375149342889</v>
      </c>
    </row>
    <row r="318" spans="1:15" x14ac:dyDescent="0.3">
      <c r="A318" t="s">
        <v>704</v>
      </c>
      <c r="B318" t="s">
        <v>494</v>
      </c>
      <c r="C318" t="s">
        <v>432</v>
      </c>
      <c r="D318" t="s">
        <v>137</v>
      </c>
      <c r="E318" t="s">
        <v>64</v>
      </c>
      <c r="F318" t="s">
        <v>65</v>
      </c>
      <c r="G318">
        <v>28</v>
      </c>
      <c r="H318">
        <v>38.520000000000003</v>
      </c>
      <c r="I318">
        <v>1078.56</v>
      </c>
      <c r="J318">
        <v>64.510000000000005</v>
      </c>
      <c r="K318">
        <v>314.05</v>
      </c>
      <c r="L318" t="s">
        <v>20</v>
      </c>
      <c r="M318" t="s">
        <v>29</v>
      </c>
      <c r="N318" t="s">
        <v>30</v>
      </c>
      <c r="O318">
        <f t="shared" si="4"/>
        <v>29.117527073134553</v>
      </c>
    </row>
    <row r="319" spans="1:15" x14ac:dyDescent="0.3">
      <c r="A319" t="s">
        <v>705</v>
      </c>
      <c r="B319" t="s">
        <v>416</v>
      </c>
      <c r="C319" t="s">
        <v>255</v>
      </c>
      <c r="D319" t="s">
        <v>26</v>
      </c>
      <c r="E319" t="s">
        <v>58</v>
      </c>
      <c r="F319" t="s">
        <v>59</v>
      </c>
      <c r="G319">
        <v>11</v>
      </c>
      <c r="H319">
        <v>31.08</v>
      </c>
      <c r="I319">
        <v>341.88</v>
      </c>
      <c r="J319">
        <v>17.18</v>
      </c>
      <c r="K319">
        <v>77.2</v>
      </c>
      <c r="L319" t="s">
        <v>42</v>
      </c>
      <c r="M319" t="s">
        <v>35</v>
      </c>
      <c r="N319" t="s">
        <v>30</v>
      </c>
      <c r="O319">
        <f t="shared" si="4"/>
        <v>22.581022581022584</v>
      </c>
    </row>
    <row r="320" spans="1:15" x14ac:dyDescent="0.3">
      <c r="A320" t="s">
        <v>706</v>
      </c>
      <c r="B320" t="s">
        <v>707</v>
      </c>
      <c r="C320" t="s">
        <v>358</v>
      </c>
      <c r="D320" t="s">
        <v>53</v>
      </c>
      <c r="E320" t="s">
        <v>54</v>
      </c>
      <c r="F320" t="s">
        <v>41</v>
      </c>
      <c r="G320">
        <v>42</v>
      </c>
      <c r="H320">
        <v>25.95</v>
      </c>
      <c r="I320">
        <v>1089.9000000000001</v>
      </c>
      <c r="J320">
        <v>27.5</v>
      </c>
      <c r="K320">
        <v>222.4</v>
      </c>
      <c r="L320" t="s">
        <v>42</v>
      </c>
      <c r="M320" t="s">
        <v>35</v>
      </c>
      <c r="N320" t="s">
        <v>22</v>
      </c>
      <c r="O320">
        <f t="shared" si="4"/>
        <v>20.40554179282503</v>
      </c>
    </row>
    <row r="321" spans="1:15" x14ac:dyDescent="0.3">
      <c r="A321" t="s">
        <v>708</v>
      </c>
      <c r="B321" t="s">
        <v>360</v>
      </c>
      <c r="C321" t="s">
        <v>597</v>
      </c>
      <c r="D321" t="s">
        <v>82</v>
      </c>
      <c r="E321" t="s">
        <v>64</v>
      </c>
      <c r="F321" t="s">
        <v>65</v>
      </c>
      <c r="G321">
        <v>30</v>
      </c>
      <c r="H321">
        <v>30.16</v>
      </c>
      <c r="I321">
        <v>904.8</v>
      </c>
      <c r="J321">
        <v>70.13</v>
      </c>
      <c r="K321">
        <v>84.67</v>
      </c>
      <c r="L321" t="s">
        <v>28</v>
      </c>
      <c r="M321" t="s">
        <v>21</v>
      </c>
      <c r="N321" t="s">
        <v>66</v>
      </c>
      <c r="O321">
        <f t="shared" si="4"/>
        <v>9.3578691423519018</v>
      </c>
    </row>
    <row r="322" spans="1:15" x14ac:dyDescent="0.3">
      <c r="A322" t="s">
        <v>709</v>
      </c>
      <c r="B322" t="s">
        <v>431</v>
      </c>
      <c r="C322" t="s">
        <v>710</v>
      </c>
      <c r="D322" t="s">
        <v>39</v>
      </c>
      <c r="E322" t="s">
        <v>54</v>
      </c>
      <c r="F322" t="s">
        <v>41</v>
      </c>
      <c r="G322">
        <v>40</v>
      </c>
      <c r="H322">
        <v>30.03</v>
      </c>
      <c r="I322">
        <v>1201.2</v>
      </c>
      <c r="J322">
        <v>71.97</v>
      </c>
      <c r="K322">
        <v>329.23</v>
      </c>
      <c r="L322" t="s">
        <v>28</v>
      </c>
      <c r="M322" t="s">
        <v>21</v>
      </c>
      <c r="N322" t="s">
        <v>43</v>
      </c>
      <c r="O322">
        <f t="shared" si="4"/>
        <v>27.408424908424912</v>
      </c>
    </row>
    <row r="323" spans="1:15" x14ac:dyDescent="0.3">
      <c r="A323" t="s">
        <v>711</v>
      </c>
      <c r="B323" t="s">
        <v>712</v>
      </c>
      <c r="C323" t="s">
        <v>128</v>
      </c>
      <c r="D323" t="s">
        <v>107</v>
      </c>
      <c r="E323" t="s">
        <v>54</v>
      </c>
      <c r="F323" t="s">
        <v>41</v>
      </c>
      <c r="G323">
        <v>15</v>
      </c>
      <c r="H323">
        <v>27.12</v>
      </c>
      <c r="I323">
        <v>406.8</v>
      </c>
      <c r="J323">
        <v>24.28</v>
      </c>
      <c r="K323">
        <v>82.52</v>
      </c>
      <c r="L323" t="s">
        <v>28</v>
      </c>
      <c r="M323" t="s">
        <v>29</v>
      </c>
      <c r="N323" t="s">
        <v>108</v>
      </c>
      <c r="O323">
        <f t="shared" ref="O323:O386" si="5">K323/I323*100</f>
        <v>20.285152409046212</v>
      </c>
    </row>
    <row r="324" spans="1:15" x14ac:dyDescent="0.3">
      <c r="A324" t="s">
        <v>713</v>
      </c>
      <c r="B324" t="s">
        <v>534</v>
      </c>
      <c r="C324" t="s">
        <v>223</v>
      </c>
      <c r="D324" t="s">
        <v>137</v>
      </c>
      <c r="E324" t="s">
        <v>73</v>
      </c>
      <c r="F324" t="s">
        <v>41</v>
      </c>
      <c r="G324">
        <v>35</v>
      </c>
      <c r="H324">
        <v>18.350000000000001</v>
      </c>
      <c r="I324">
        <v>642.25</v>
      </c>
      <c r="J324">
        <v>29.35</v>
      </c>
      <c r="K324">
        <v>166.65</v>
      </c>
      <c r="L324" t="s">
        <v>20</v>
      </c>
      <c r="M324" t="s">
        <v>29</v>
      </c>
      <c r="N324" t="s">
        <v>30</v>
      </c>
      <c r="O324">
        <f t="shared" si="5"/>
        <v>25.947839626313741</v>
      </c>
    </row>
    <row r="325" spans="1:15" x14ac:dyDescent="0.3">
      <c r="A325" t="s">
        <v>714</v>
      </c>
      <c r="B325" t="s">
        <v>663</v>
      </c>
      <c r="C325" t="s">
        <v>613</v>
      </c>
      <c r="D325" t="s">
        <v>107</v>
      </c>
      <c r="E325" t="s">
        <v>18</v>
      </c>
      <c r="F325" t="s">
        <v>19</v>
      </c>
      <c r="G325">
        <v>21</v>
      </c>
      <c r="H325">
        <v>52.59</v>
      </c>
      <c r="I325">
        <v>1104.3900000000001</v>
      </c>
      <c r="J325">
        <v>57.06</v>
      </c>
      <c r="K325">
        <v>312.33</v>
      </c>
      <c r="L325" t="s">
        <v>28</v>
      </c>
      <c r="M325" t="s">
        <v>29</v>
      </c>
      <c r="N325" t="s">
        <v>108</v>
      </c>
      <c r="O325">
        <f t="shared" si="5"/>
        <v>28.280770380028791</v>
      </c>
    </row>
    <row r="326" spans="1:15" x14ac:dyDescent="0.3">
      <c r="A326" t="s">
        <v>715</v>
      </c>
      <c r="B326" t="s">
        <v>716</v>
      </c>
      <c r="C326" t="s">
        <v>541</v>
      </c>
      <c r="D326" t="s">
        <v>63</v>
      </c>
      <c r="E326" t="s">
        <v>103</v>
      </c>
      <c r="F326" t="s">
        <v>59</v>
      </c>
      <c r="G326">
        <v>10</v>
      </c>
      <c r="H326">
        <v>44.2</v>
      </c>
      <c r="I326">
        <v>442</v>
      </c>
      <c r="J326">
        <v>18.45</v>
      </c>
      <c r="K326">
        <v>143.55000000000001</v>
      </c>
      <c r="L326" t="s">
        <v>20</v>
      </c>
      <c r="M326" t="s">
        <v>21</v>
      </c>
      <c r="N326" t="s">
        <v>66</v>
      </c>
      <c r="O326">
        <f t="shared" si="5"/>
        <v>32.477375565610863</v>
      </c>
    </row>
    <row r="327" spans="1:15" x14ac:dyDescent="0.3">
      <c r="A327" t="s">
        <v>717</v>
      </c>
      <c r="B327" t="s">
        <v>499</v>
      </c>
      <c r="C327" t="s">
        <v>298</v>
      </c>
      <c r="D327" t="s">
        <v>63</v>
      </c>
      <c r="E327" t="s">
        <v>18</v>
      </c>
      <c r="F327" t="s">
        <v>19</v>
      </c>
      <c r="G327">
        <v>11</v>
      </c>
      <c r="H327">
        <v>60.9</v>
      </c>
      <c r="I327">
        <v>669.9</v>
      </c>
      <c r="J327">
        <v>26.28</v>
      </c>
      <c r="K327">
        <v>258.62</v>
      </c>
      <c r="L327" t="s">
        <v>28</v>
      </c>
      <c r="M327" t="s">
        <v>29</v>
      </c>
      <c r="N327" t="s">
        <v>66</v>
      </c>
      <c r="O327">
        <f t="shared" si="5"/>
        <v>38.605762054037918</v>
      </c>
    </row>
    <row r="328" spans="1:15" x14ac:dyDescent="0.3">
      <c r="A328" t="s">
        <v>718</v>
      </c>
      <c r="B328" t="s">
        <v>719</v>
      </c>
      <c r="C328" t="s">
        <v>62</v>
      </c>
      <c r="D328" t="s">
        <v>89</v>
      </c>
      <c r="E328" t="s">
        <v>73</v>
      </c>
      <c r="F328" t="s">
        <v>41</v>
      </c>
      <c r="G328">
        <v>26</v>
      </c>
      <c r="H328">
        <v>22.32</v>
      </c>
      <c r="I328">
        <v>580.32000000000005</v>
      </c>
      <c r="J328">
        <v>45.08</v>
      </c>
      <c r="K328">
        <v>203.74</v>
      </c>
      <c r="L328" t="s">
        <v>28</v>
      </c>
      <c r="M328" t="s">
        <v>29</v>
      </c>
      <c r="N328" t="s">
        <v>66</v>
      </c>
      <c r="O328">
        <f t="shared" si="5"/>
        <v>35.108216156603248</v>
      </c>
    </row>
    <row r="329" spans="1:15" x14ac:dyDescent="0.3">
      <c r="A329" t="s">
        <v>720</v>
      </c>
      <c r="B329" t="s">
        <v>721</v>
      </c>
      <c r="C329" t="s">
        <v>384</v>
      </c>
      <c r="D329" t="s">
        <v>63</v>
      </c>
      <c r="E329" t="s">
        <v>103</v>
      </c>
      <c r="F329" t="s">
        <v>59</v>
      </c>
      <c r="G329">
        <v>46</v>
      </c>
      <c r="H329">
        <v>41.89</v>
      </c>
      <c r="I329">
        <v>1926.94</v>
      </c>
      <c r="J329">
        <v>97.39</v>
      </c>
      <c r="K329">
        <v>541.54999999999995</v>
      </c>
      <c r="L329" t="s">
        <v>20</v>
      </c>
      <c r="M329" t="s">
        <v>35</v>
      </c>
      <c r="N329" t="s">
        <v>66</v>
      </c>
      <c r="O329">
        <f t="shared" si="5"/>
        <v>28.104144394739844</v>
      </c>
    </row>
    <row r="330" spans="1:15" x14ac:dyDescent="0.3">
      <c r="A330" t="s">
        <v>722</v>
      </c>
      <c r="B330" t="s">
        <v>462</v>
      </c>
      <c r="C330" t="s">
        <v>243</v>
      </c>
      <c r="D330" t="s">
        <v>26</v>
      </c>
      <c r="E330" t="s">
        <v>73</v>
      </c>
      <c r="F330" t="s">
        <v>41</v>
      </c>
      <c r="G330">
        <v>43</v>
      </c>
      <c r="H330">
        <v>21.24</v>
      </c>
      <c r="I330">
        <v>913.32</v>
      </c>
      <c r="J330">
        <v>50.32</v>
      </c>
      <c r="K330">
        <v>314.75</v>
      </c>
      <c r="L330" t="s">
        <v>28</v>
      </c>
      <c r="M330" t="s">
        <v>21</v>
      </c>
      <c r="N330" t="s">
        <v>30</v>
      </c>
      <c r="O330">
        <f t="shared" si="5"/>
        <v>34.462181929663203</v>
      </c>
    </row>
    <row r="331" spans="1:15" x14ac:dyDescent="0.3">
      <c r="A331" t="s">
        <v>723</v>
      </c>
      <c r="B331" t="s">
        <v>625</v>
      </c>
      <c r="C331" t="s">
        <v>724</v>
      </c>
      <c r="D331" t="s">
        <v>207</v>
      </c>
      <c r="E331" t="s">
        <v>58</v>
      </c>
      <c r="F331" t="s">
        <v>59</v>
      </c>
      <c r="G331">
        <v>28</v>
      </c>
      <c r="H331">
        <v>33.700000000000003</v>
      </c>
      <c r="I331">
        <v>943.6</v>
      </c>
      <c r="J331">
        <v>20.170000000000002</v>
      </c>
      <c r="K331">
        <v>293.43</v>
      </c>
      <c r="L331" t="s">
        <v>20</v>
      </c>
      <c r="M331" t="s">
        <v>29</v>
      </c>
      <c r="N331" t="s">
        <v>30</v>
      </c>
      <c r="O331">
        <f t="shared" si="5"/>
        <v>31.096863077575243</v>
      </c>
    </row>
    <row r="332" spans="1:15" x14ac:dyDescent="0.3">
      <c r="A332" t="s">
        <v>725</v>
      </c>
      <c r="B332" t="s">
        <v>726</v>
      </c>
      <c r="C332" t="s">
        <v>301</v>
      </c>
      <c r="D332" t="s">
        <v>249</v>
      </c>
      <c r="E332" t="s">
        <v>18</v>
      </c>
      <c r="F332" t="s">
        <v>19</v>
      </c>
      <c r="G332">
        <v>41</v>
      </c>
      <c r="H332">
        <v>42.74</v>
      </c>
      <c r="I332">
        <v>1752.34</v>
      </c>
      <c r="J332">
        <v>92.09</v>
      </c>
      <c r="K332">
        <v>225.25</v>
      </c>
      <c r="L332" t="s">
        <v>42</v>
      </c>
      <c r="M332" t="s">
        <v>21</v>
      </c>
      <c r="N332" t="s">
        <v>66</v>
      </c>
      <c r="O332">
        <f t="shared" si="5"/>
        <v>12.854240615405688</v>
      </c>
    </row>
    <row r="333" spans="1:15" x14ac:dyDescent="0.3">
      <c r="A333" t="s">
        <v>727</v>
      </c>
      <c r="B333" t="s">
        <v>728</v>
      </c>
      <c r="C333" t="s">
        <v>613</v>
      </c>
      <c r="D333" t="s">
        <v>26</v>
      </c>
      <c r="E333" t="s">
        <v>54</v>
      </c>
      <c r="F333" t="s">
        <v>41</v>
      </c>
      <c r="G333">
        <v>24</v>
      </c>
      <c r="H333">
        <v>30.18</v>
      </c>
      <c r="I333">
        <v>724.32</v>
      </c>
      <c r="J333">
        <v>44.97</v>
      </c>
      <c r="K333">
        <v>199.35</v>
      </c>
      <c r="L333" t="s">
        <v>20</v>
      </c>
      <c r="M333" t="s">
        <v>21</v>
      </c>
      <c r="N333" t="s">
        <v>30</v>
      </c>
      <c r="O333">
        <f t="shared" si="5"/>
        <v>27.522365805168985</v>
      </c>
    </row>
    <row r="334" spans="1:15" x14ac:dyDescent="0.3">
      <c r="A334" t="s">
        <v>729</v>
      </c>
      <c r="B334" t="s">
        <v>321</v>
      </c>
      <c r="C334" t="s">
        <v>143</v>
      </c>
      <c r="D334" t="s">
        <v>93</v>
      </c>
      <c r="E334" t="s">
        <v>69</v>
      </c>
      <c r="F334" t="s">
        <v>59</v>
      </c>
      <c r="G334">
        <v>44</v>
      </c>
      <c r="H334">
        <v>20.02</v>
      </c>
      <c r="I334">
        <v>880.88</v>
      </c>
      <c r="J334">
        <v>60.27</v>
      </c>
      <c r="K334">
        <v>138.61000000000001</v>
      </c>
      <c r="L334" t="s">
        <v>28</v>
      </c>
      <c r="M334" t="s">
        <v>29</v>
      </c>
      <c r="N334" t="s">
        <v>66</v>
      </c>
      <c r="O334">
        <f t="shared" si="5"/>
        <v>15.735400962673692</v>
      </c>
    </row>
    <row r="335" spans="1:15" x14ac:dyDescent="0.3">
      <c r="A335" t="s">
        <v>730</v>
      </c>
      <c r="B335" t="s">
        <v>552</v>
      </c>
      <c r="C335" t="s">
        <v>140</v>
      </c>
      <c r="D335" t="s">
        <v>26</v>
      </c>
      <c r="E335" t="s">
        <v>54</v>
      </c>
      <c r="F335" t="s">
        <v>41</v>
      </c>
      <c r="G335">
        <v>12</v>
      </c>
      <c r="H335">
        <v>27.45</v>
      </c>
      <c r="I335">
        <v>329.4</v>
      </c>
      <c r="J335">
        <v>13.22</v>
      </c>
      <c r="K335">
        <v>76.180000000000007</v>
      </c>
      <c r="L335" t="s">
        <v>42</v>
      </c>
      <c r="M335" t="s">
        <v>35</v>
      </c>
      <c r="N335" t="s">
        <v>30</v>
      </c>
      <c r="O335">
        <f t="shared" si="5"/>
        <v>23.126897389192475</v>
      </c>
    </row>
    <row r="336" spans="1:15" x14ac:dyDescent="0.3">
      <c r="A336" t="s">
        <v>731</v>
      </c>
      <c r="B336" t="s">
        <v>273</v>
      </c>
      <c r="C336" t="s">
        <v>111</v>
      </c>
      <c r="D336" t="s">
        <v>107</v>
      </c>
      <c r="E336" t="s">
        <v>54</v>
      </c>
      <c r="F336" t="s">
        <v>41</v>
      </c>
      <c r="G336">
        <v>26</v>
      </c>
      <c r="H336">
        <v>30.57</v>
      </c>
      <c r="I336">
        <v>794.82</v>
      </c>
      <c r="J336">
        <v>19.45</v>
      </c>
      <c r="K336">
        <v>255.37</v>
      </c>
      <c r="L336" t="s">
        <v>42</v>
      </c>
      <c r="M336" t="s">
        <v>29</v>
      </c>
      <c r="N336" t="s">
        <v>108</v>
      </c>
      <c r="O336">
        <f t="shared" si="5"/>
        <v>32.129287134193909</v>
      </c>
    </row>
    <row r="337" spans="1:15" x14ac:dyDescent="0.3">
      <c r="A337" t="s">
        <v>732</v>
      </c>
      <c r="B337" t="s">
        <v>733</v>
      </c>
      <c r="C337" t="s">
        <v>151</v>
      </c>
      <c r="D337" t="s">
        <v>93</v>
      </c>
      <c r="E337" t="s">
        <v>64</v>
      </c>
      <c r="F337" t="s">
        <v>65</v>
      </c>
      <c r="G337">
        <v>46</v>
      </c>
      <c r="H337">
        <v>32.19</v>
      </c>
      <c r="I337">
        <v>1480.74</v>
      </c>
      <c r="J337">
        <v>111.13</v>
      </c>
      <c r="K337">
        <v>219.61</v>
      </c>
      <c r="L337" t="s">
        <v>42</v>
      </c>
      <c r="M337" t="s">
        <v>29</v>
      </c>
      <c r="N337" t="s">
        <v>66</v>
      </c>
      <c r="O337">
        <f t="shared" si="5"/>
        <v>14.831097964531248</v>
      </c>
    </row>
    <row r="338" spans="1:15" x14ac:dyDescent="0.3">
      <c r="A338" t="s">
        <v>734</v>
      </c>
      <c r="B338" t="s">
        <v>735</v>
      </c>
      <c r="C338" t="s">
        <v>106</v>
      </c>
      <c r="D338" t="s">
        <v>82</v>
      </c>
      <c r="E338" t="s">
        <v>27</v>
      </c>
      <c r="F338" t="s">
        <v>19</v>
      </c>
      <c r="G338">
        <v>20</v>
      </c>
      <c r="H338">
        <v>31.79</v>
      </c>
      <c r="I338">
        <v>635.79999999999995</v>
      </c>
      <c r="J338">
        <v>38.43</v>
      </c>
      <c r="K338">
        <v>237.37</v>
      </c>
      <c r="L338" t="s">
        <v>20</v>
      </c>
      <c r="M338" t="s">
        <v>29</v>
      </c>
      <c r="N338" t="s">
        <v>66</v>
      </c>
      <c r="O338">
        <f t="shared" si="5"/>
        <v>37.334067316766287</v>
      </c>
    </row>
    <row r="339" spans="1:15" x14ac:dyDescent="0.3">
      <c r="A339" t="s">
        <v>736</v>
      </c>
      <c r="B339" t="s">
        <v>737</v>
      </c>
      <c r="C339" t="s">
        <v>16</v>
      </c>
      <c r="D339" t="s">
        <v>172</v>
      </c>
      <c r="E339" t="s">
        <v>27</v>
      </c>
      <c r="F339" t="s">
        <v>19</v>
      </c>
      <c r="G339">
        <v>8</v>
      </c>
      <c r="H339">
        <v>28.94</v>
      </c>
      <c r="I339">
        <v>231.52</v>
      </c>
      <c r="J339">
        <v>7</v>
      </c>
      <c r="K339">
        <v>80.52</v>
      </c>
      <c r="L339" t="s">
        <v>42</v>
      </c>
      <c r="M339" t="s">
        <v>29</v>
      </c>
      <c r="N339" t="s">
        <v>173</v>
      </c>
      <c r="O339">
        <f t="shared" si="5"/>
        <v>34.778852798894263</v>
      </c>
    </row>
    <row r="340" spans="1:15" x14ac:dyDescent="0.3">
      <c r="A340" t="s">
        <v>738</v>
      </c>
      <c r="B340" t="s">
        <v>739</v>
      </c>
      <c r="C340" t="s">
        <v>301</v>
      </c>
      <c r="D340" t="s">
        <v>137</v>
      </c>
      <c r="E340" t="s">
        <v>27</v>
      </c>
      <c r="F340" t="s">
        <v>19</v>
      </c>
      <c r="G340">
        <v>40</v>
      </c>
      <c r="H340">
        <v>30.66</v>
      </c>
      <c r="I340">
        <v>1226.4000000000001</v>
      </c>
      <c r="J340">
        <v>85.24</v>
      </c>
      <c r="K340">
        <v>421.16</v>
      </c>
      <c r="L340" t="s">
        <v>20</v>
      </c>
      <c r="M340" t="s">
        <v>21</v>
      </c>
      <c r="N340" t="s">
        <v>30</v>
      </c>
      <c r="O340">
        <f t="shared" si="5"/>
        <v>34.341161121983035</v>
      </c>
    </row>
    <row r="341" spans="1:15" x14ac:dyDescent="0.3">
      <c r="A341" t="s">
        <v>740</v>
      </c>
      <c r="B341" t="s">
        <v>283</v>
      </c>
      <c r="C341" t="s">
        <v>506</v>
      </c>
      <c r="D341" t="s">
        <v>172</v>
      </c>
      <c r="E341" t="s">
        <v>40</v>
      </c>
      <c r="F341" t="s">
        <v>41</v>
      </c>
      <c r="G341">
        <v>44</v>
      </c>
      <c r="H341">
        <v>54.09</v>
      </c>
      <c r="I341">
        <v>2379.96</v>
      </c>
      <c r="J341">
        <v>106.39</v>
      </c>
      <c r="K341">
        <v>865.57</v>
      </c>
      <c r="L341" t="s">
        <v>20</v>
      </c>
      <c r="M341" t="s">
        <v>29</v>
      </c>
      <c r="N341" t="s">
        <v>173</v>
      </c>
      <c r="O341">
        <f t="shared" si="5"/>
        <v>36.369098640313283</v>
      </c>
    </row>
    <row r="342" spans="1:15" x14ac:dyDescent="0.3">
      <c r="A342" t="s">
        <v>741</v>
      </c>
      <c r="B342" t="s">
        <v>582</v>
      </c>
      <c r="C342" t="s">
        <v>143</v>
      </c>
      <c r="D342" t="s">
        <v>82</v>
      </c>
      <c r="E342" t="s">
        <v>48</v>
      </c>
      <c r="F342" t="s">
        <v>49</v>
      </c>
      <c r="G342">
        <v>32</v>
      </c>
      <c r="H342">
        <v>68.89</v>
      </c>
      <c r="I342">
        <v>2204.48</v>
      </c>
      <c r="J342">
        <v>152.05000000000001</v>
      </c>
      <c r="K342">
        <v>772.43</v>
      </c>
      <c r="L342" t="s">
        <v>20</v>
      </c>
      <c r="M342" t="s">
        <v>29</v>
      </c>
      <c r="N342" t="s">
        <v>66</v>
      </c>
      <c r="O342">
        <f t="shared" si="5"/>
        <v>35.039102191900128</v>
      </c>
    </row>
    <row r="343" spans="1:15" x14ac:dyDescent="0.3">
      <c r="A343" t="s">
        <v>742</v>
      </c>
      <c r="B343" t="s">
        <v>743</v>
      </c>
      <c r="C343" t="s">
        <v>699</v>
      </c>
      <c r="D343" t="s">
        <v>249</v>
      </c>
      <c r="E343" t="s">
        <v>18</v>
      </c>
      <c r="F343" t="s">
        <v>19</v>
      </c>
      <c r="G343">
        <v>44</v>
      </c>
      <c r="H343">
        <v>43.35</v>
      </c>
      <c r="I343">
        <v>1907.4</v>
      </c>
      <c r="J343">
        <v>99.05</v>
      </c>
      <c r="K343">
        <v>268.35000000000002</v>
      </c>
      <c r="L343" t="s">
        <v>42</v>
      </c>
      <c r="M343" t="s">
        <v>29</v>
      </c>
      <c r="N343" t="s">
        <v>66</v>
      </c>
      <c r="O343">
        <f t="shared" si="5"/>
        <v>14.068889587920729</v>
      </c>
    </row>
    <row r="344" spans="1:15" x14ac:dyDescent="0.3">
      <c r="A344" t="s">
        <v>744</v>
      </c>
      <c r="B344" t="s">
        <v>745</v>
      </c>
      <c r="C344" t="s">
        <v>25</v>
      </c>
      <c r="D344" t="s">
        <v>53</v>
      </c>
      <c r="E344" t="s">
        <v>103</v>
      </c>
      <c r="F344" t="s">
        <v>59</v>
      </c>
      <c r="G344">
        <v>24</v>
      </c>
      <c r="H344">
        <v>34</v>
      </c>
      <c r="I344">
        <v>816</v>
      </c>
      <c r="J344">
        <v>42.15</v>
      </c>
      <c r="K344">
        <v>101.85</v>
      </c>
      <c r="L344" t="s">
        <v>42</v>
      </c>
      <c r="M344" t="s">
        <v>21</v>
      </c>
      <c r="N344" t="s">
        <v>22</v>
      </c>
      <c r="O344">
        <f t="shared" si="5"/>
        <v>12.481617647058822</v>
      </c>
    </row>
    <row r="345" spans="1:15" x14ac:dyDescent="0.3">
      <c r="A345" t="s">
        <v>746</v>
      </c>
      <c r="B345" t="s">
        <v>600</v>
      </c>
      <c r="C345" t="s">
        <v>204</v>
      </c>
      <c r="D345" t="s">
        <v>63</v>
      </c>
      <c r="E345" t="s">
        <v>27</v>
      </c>
      <c r="F345" t="s">
        <v>19</v>
      </c>
      <c r="G345">
        <v>41</v>
      </c>
      <c r="H345">
        <v>30.25</v>
      </c>
      <c r="I345">
        <v>1240.25</v>
      </c>
      <c r="J345">
        <v>92.86</v>
      </c>
      <c r="K345">
        <v>409.39</v>
      </c>
      <c r="L345" t="s">
        <v>20</v>
      </c>
      <c r="M345" t="s">
        <v>21</v>
      </c>
      <c r="N345" t="s">
        <v>66</v>
      </c>
      <c r="O345">
        <f t="shared" si="5"/>
        <v>33.00866760733723</v>
      </c>
    </row>
    <row r="346" spans="1:15" x14ac:dyDescent="0.3">
      <c r="A346" t="s">
        <v>747</v>
      </c>
      <c r="B346" t="s">
        <v>748</v>
      </c>
      <c r="C346" t="s">
        <v>16</v>
      </c>
      <c r="D346" t="s">
        <v>107</v>
      </c>
      <c r="E346" t="s">
        <v>69</v>
      </c>
      <c r="F346" t="s">
        <v>59</v>
      </c>
      <c r="G346">
        <v>15</v>
      </c>
      <c r="H346">
        <v>23.71</v>
      </c>
      <c r="I346">
        <v>355.65</v>
      </c>
      <c r="J346">
        <v>7.22</v>
      </c>
      <c r="K346">
        <v>115.93</v>
      </c>
      <c r="L346" t="s">
        <v>28</v>
      </c>
      <c r="M346" t="s">
        <v>29</v>
      </c>
      <c r="N346" t="s">
        <v>108</v>
      </c>
      <c r="O346">
        <f t="shared" si="5"/>
        <v>32.596654013777595</v>
      </c>
    </row>
    <row r="347" spans="1:15" x14ac:dyDescent="0.3">
      <c r="A347" t="s">
        <v>749</v>
      </c>
      <c r="B347" t="s">
        <v>242</v>
      </c>
      <c r="C347" t="s">
        <v>163</v>
      </c>
      <c r="D347" t="s">
        <v>82</v>
      </c>
      <c r="E347" t="s">
        <v>40</v>
      </c>
      <c r="F347" t="s">
        <v>41</v>
      </c>
      <c r="G347">
        <v>33</v>
      </c>
      <c r="H347">
        <v>48.64</v>
      </c>
      <c r="I347">
        <v>1605.12</v>
      </c>
      <c r="J347">
        <v>98.71</v>
      </c>
      <c r="K347">
        <v>450.41</v>
      </c>
      <c r="L347" t="s">
        <v>20</v>
      </c>
      <c r="M347" t="s">
        <v>29</v>
      </c>
      <c r="N347" t="s">
        <v>66</v>
      </c>
      <c r="O347">
        <f t="shared" si="5"/>
        <v>28.060830342902715</v>
      </c>
    </row>
    <row r="348" spans="1:15" x14ac:dyDescent="0.3">
      <c r="A348" t="s">
        <v>750</v>
      </c>
      <c r="B348" t="s">
        <v>751</v>
      </c>
      <c r="C348" t="s">
        <v>38</v>
      </c>
      <c r="D348" t="s">
        <v>207</v>
      </c>
      <c r="E348" t="s">
        <v>18</v>
      </c>
      <c r="F348" t="s">
        <v>19</v>
      </c>
      <c r="G348">
        <v>7</v>
      </c>
      <c r="H348">
        <v>50.94</v>
      </c>
      <c r="I348">
        <v>356.58</v>
      </c>
      <c r="J348">
        <v>11.19</v>
      </c>
      <c r="K348">
        <v>100.39</v>
      </c>
      <c r="L348" t="s">
        <v>28</v>
      </c>
      <c r="M348" t="s">
        <v>21</v>
      </c>
      <c r="N348" t="s">
        <v>30</v>
      </c>
      <c r="O348">
        <f t="shared" si="5"/>
        <v>28.153570026361546</v>
      </c>
    </row>
    <row r="349" spans="1:15" x14ac:dyDescent="0.3">
      <c r="A349" t="s">
        <v>752</v>
      </c>
      <c r="B349" t="s">
        <v>753</v>
      </c>
      <c r="C349" t="s">
        <v>290</v>
      </c>
      <c r="D349" t="s">
        <v>172</v>
      </c>
      <c r="E349" t="s">
        <v>54</v>
      </c>
      <c r="F349" t="s">
        <v>41</v>
      </c>
      <c r="G349">
        <v>1</v>
      </c>
      <c r="H349">
        <v>31.4</v>
      </c>
      <c r="I349">
        <v>31.4</v>
      </c>
      <c r="J349">
        <v>1.1399999999999999</v>
      </c>
      <c r="K349">
        <v>10.26</v>
      </c>
      <c r="L349" t="s">
        <v>42</v>
      </c>
      <c r="M349" t="s">
        <v>29</v>
      </c>
      <c r="N349" t="s">
        <v>173</v>
      </c>
      <c r="O349">
        <f t="shared" si="5"/>
        <v>32.675159235668787</v>
      </c>
    </row>
    <row r="350" spans="1:15" x14ac:dyDescent="0.3">
      <c r="A350" t="s">
        <v>754</v>
      </c>
      <c r="B350" t="s">
        <v>375</v>
      </c>
      <c r="C350" t="s">
        <v>284</v>
      </c>
      <c r="D350" t="s">
        <v>34</v>
      </c>
      <c r="E350" t="s">
        <v>73</v>
      </c>
      <c r="F350" t="s">
        <v>41</v>
      </c>
      <c r="G350">
        <v>28</v>
      </c>
      <c r="H350">
        <v>18.59</v>
      </c>
      <c r="I350">
        <v>520.52</v>
      </c>
      <c r="J350">
        <v>14.08</v>
      </c>
      <c r="K350">
        <v>149.44</v>
      </c>
      <c r="L350" t="s">
        <v>20</v>
      </c>
      <c r="M350" t="s">
        <v>21</v>
      </c>
      <c r="N350" t="s">
        <v>30</v>
      </c>
      <c r="O350">
        <f t="shared" si="5"/>
        <v>28.709751786674865</v>
      </c>
    </row>
    <row r="351" spans="1:15" x14ac:dyDescent="0.3">
      <c r="A351" t="s">
        <v>755</v>
      </c>
      <c r="B351" t="s">
        <v>756</v>
      </c>
      <c r="C351" t="s">
        <v>757</v>
      </c>
      <c r="D351" t="s">
        <v>137</v>
      </c>
      <c r="E351" t="s">
        <v>69</v>
      </c>
      <c r="F351" t="s">
        <v>59</v>
      </c>
      <c r="G351">
        <v>50</v>
      </c>
      <c r="H351">
        <v>20.66</v>
      </c>
      <c r="I351">
        <v>1033</v>
      </c>
      <c r="J351">
        <v>34.130000000000003</v>
      </c>
      <c r="K351">
        <v>223.87</v>
      </c>
      <c r="L351" t="s">
        <v>42</v>
      </c>
      <c r="M351" t="s">
        <v>29</v>
      </c>
      <c r="N351" t="s">
        <v>30</v>
      </c>
      <c r="O351">
        <f t="shared" si="5"/>
        <v>21.671829622458858</v>
      </c>
    </row>
    <row r="352" spans="1:15" x14ac:dyDescent="0.3">
      <c r="A352" t="s">
        <v>758</v>
      </c>
      <c r="B352" t="s">
        <v>514</v>
      </c>
      <c r="C352" t="s">
        <v>215</v>
      </c>
      <c r="D352" t="s">
        <v>63</v>
      </c>
      <c r="E352" t="s">
        <v>18</v>
      </c>
      <c r="F352" t="s">
        <v>19</v>
      </c>
      <c r="G352">
        <v>4</v>
      </c>
      <c r="H352">
        <v>46.62</v>
      </c>
      <c r="I352">
        <v>186.48</v>
      </c>
      <c r="J352">
        <v>13.29</v>
      </c>
      <c r="K352">
        <v>33.19</v>
      </c>
      <c r="L352" t="s">
        <v>28</v>
      </c>
      <c r="M352" t="s">
        <v>21</v>
      </c>
      <c r="N352" t="s">
        <v>66</v>
      </c>
      <c r="O352">
        <f t="shared" si="5"/>
        <v>17.798155298155301</v>
      </c>
    </row>
    <row r="353" spans="1:15" x14ac:dyDescent="0.3">
      <c r="A353" t="s">
        <v>759</v>
      </c>
      <c r="B353" t="s">
        <v>514</v>
      </c>
      <c r="C353" t="s">
        <v>699</v>
      </c>
      <c r="D353" t="s">
        <v>107</v>
      </c>
      <c r="E353" t="s">
        <v>69</v>
      </c>
      <c r="F353" t="s">
        <v>59</v>
      </c>
      <c r="G353">
        <v>37</v>
      </c>
      <c r="H353">
        <v>21.81</v>
      </c>
      <c r="I353">
        <v>806.97</v>
      </c>
      <c r="J353">
        <v>19.63</v>
      </c>
      <c r="K353">
        <v>213.84</v>
      </c>
      <c r="L353" t="s">
        <v>42</v>
      </c>
      <c r="M353" t="s">
        <v>35</v>
      </c>
      <c r="N353" t="s">
        <v>108</v>
      </c>
      <c r="O353">
        <f t="shared" si="5"/>
        <v>26.499126361574781</v>
      </c>
    </row>
    <row r="354" spans="1:15" x14ac:dyDescent="0.3">
      <c r="A354" t="s">
        <v>760</v>
      </c>
      <c r="B354" t="s">
        <v>32</v>
      </c>
      <c r="C354" t="s">
        <v>182</v>
      </c>
      <c r="D354" t="s">
        <v>63</v>
      </c>
      <c r="E354" t="s">
        <v>69</v>
      </c>
      <c r="F354" t="s">
        <v>59</v>
      </c>
      <c r="G354">
        <v>48</v>
      </c>
      <c r="H354">
        <v>26.68</v>
      </c>
      <c r="I354">
        <v>1280.6400000000001</v>
      </c>
      <c r="J354">
        <v>55.36</v>
      </c>
      <c r="K354">
        <v>481.28</v>
      </c>
      <c r="L354" t="s">
        <v>20</v>
      </c>
      <c r="M354" t="s">
        <v>29</v>
      </c>
      <c r="N354" t="s">
        <v>66</v>
      </c>
      <c r="O354">
        <f t="shared" si="5"/>
        <v>37.581209395302345</v>
      </c>
    </row>
    <row r="355" spans="1:15" x14ac:dyDescent="0.3">
      <c r="A355" t="s">
        <v>761</v>
      </c>
      <c r="B355" t="s">
        <v>762</v>
      </c>
      <c r="C355" t="s">
        <v>157</v>
      </c>
      <c r="D355" t="s">
        <v>39</v>
      </c>
      <c r="E355" t="s">
        <v>64</v>
      </c>
      <c r="F355" t="s">
        <v>65</v>
      </c>
      <c r="G355">
        <v>24</v>
      </c>
      <c r="H355">
        <v>42.82</v>
      </c>
      <c r="I355">
        <v>1027.68</v>
      </c>
      <c r="J355">
        <v>69.95</v>
      </c>
      <c r="K355">
        <v>357.73</v>
      </c>
      <c r="L355" t="s">
        <v>20</v>
      </c>
      <c r="M355" t="s">
        <v>21</v>
      </c>
      <c r="N355" t="s">
        <v>43</v>
      </c>
      <c r="O355">
        <f t="shared" si="5"/>
        <v>34.809473766152891</v>
      </c>
    </row>
    <row r="356" spans="1:15" x14ac:dyDescent="0.3">
      <c r="A356" t="s">
        <v>763</v>
      </c>
      <c r="B356" t="s">
        <v>145</v>
      </c>
      <c r="C356" t="s">
        <v>160</v>
      </c>
      <c r="D356" t="s">
        <v>172</v>
      </c>
      <c r="E356" t="s">
        <v>58</v>
      </c>
      <c r="F356" t="s">
        <v>59</v>
      </c>
      <c r="G356">
        <v>26</v>
      </c>
      <c r="H356">
        <v>34.4</v>
      </c>
      <c r="I356">
        <v>894.4</v>
      </c>
      <c r="J356">
        <v>40.42</v>
      </c>
      <c r="K356">
        <v>268.98</v>
      </c>
      <c r="L356" t="s">
        <v>20</v>
      </c>
      <c r="M356" t="s">
        <v>21</v>
      </c>
      <c r="N356" t="s">
        <v>173</v>
      </c>
      <c r="O356">
        <f t="shared" si="5"/>
        <v>30.073792486583191</v>
      </c>
    </row>
    <row r="357" spans="1:15" x14ac:dyDescent="0.3">
      <c r="A357" t="s">
        <v>764</v>
      </c>
      <c r="B357" t="s">
        <v>765</v>
      </c>
      <c r="C357" t="s">
        <v>288</v>
      </c>
      <c r="D357" t="s">
        <v>34</v>
      </c>
      <c r="E357" t="s">
        <v>18</v>
      </c>
      <c r="F357" t="s">
        <v>19</v>
      </c>
      <c r="G357">
        <v>47</v>
      </c>
      <c r="H357">
        <v>44.89</v>
      </c>
      <c r="I357">
        <v>2109.83</v>
      </c>
      <c r="J357">
        <v>45.91</v>
      </c>
      <c r="K357">
        <v>418.92</v>
      </c>
      <c r="L357" t="s">
        <v>20</v>
      </c>
      <c r="M357" t="s">
        <v>29</v>
      </c>
      <c r="N357" t="s">
        <v>30</v>
      </c>
      <c r="O357">
        <f t="shared" si="5"/>
        <v>19.855628178573632</v>
      </c>
    </row>
    <row r="358" spans="1:15" x14ac:dyDescent="0.3">
      <c r="A358" t="s">
        <v>766</v>
      </c>
      <c r="B358" t="s">
        <v>655</v>
      </c>
      <c r="C358" t="s">
        <v>252</v>
      </c>
      <c r="D358" t="s">
        <v>63</v>
      </c>
      <c r="E358" t="s">
        <v>69</v>
      </c>
      <c r="F358" t="s">
        <v>59</v>
      </c>
      <c r="G358">
        <v>1</v>
      </c>
      <c r="H358">
        <v>18.739999999999998</v>
      </c>
      <c r="I358">
        <v>18.739999999999998</v>
      </c>
      <c r="J358">
        <v>0.5</v>
      </c>
      <c r="K358">
        <v>2.74</v>
      </c>
      <c r="L358" t="s">
        <v>42</v>
      </c>
      <c r="M358" t="s">
        <v>29</v>
      </c>
      <c r="N358" t="s">
        <v>66</v>
      </c>
      <c r="O358">
        <f t="shared" si="5"/>
        <v>14.621131270010675</v>
      </c>
    </row>
    <row r="359" spans="1:15" x14ac:dyDescent="0.3">
      <c r="A359" t="s">
        <v>767</v>
      </c>
      <c r="B359" t="s">
        <v>122</v>
      </c>
      <c r="C359" t="s">
        <v>238</v>
      </c>
      <c r="D359" t="s">
        <v>82</v>
      </c>
      <c r="E359" t="s">
        <v>58</v>
      </c>
      <c r="F359" t="s">
        <v>59</v>
      </c>
      <c r="G359">
        <v>27</v>
      </c>
      <c r="H359">
        <v>36.270000000000003</v>
      </c>
      <c r="I359">
        <v>979.29</v>
      </c>
      <c r="J359">
        <v>54.58</v>
      </c>
      <c r="K359">
        <v>317.20999999999998</v>
      </c>
      <c r="L359" t="s">
        <v>28</v>
      </c>
      <c r="M359" t="s">
        <v>29</v>
      </c>
      <c r="N359" t="s">
        <v>66</v>
      </c>
      <c r="O359">
        <f t="shared" si="5"/>
        <v>32.391834900795473</v>
      </c>
    </row>
    <row r="360" spans="1:15" x14ac:dyDescent="0.3">
      <c r="A360" t="s">
        <v>768</v>
      </c>
      <c r="B360" t="s">
        <v>227</v>
      </c>
      <c r="C360" t="s">
        <v>117</v>
      </c>
      <c r="D360" t="s">
        <v>207</v>
      </c>
      <c r="E360" t="s">
        <v>73</v>
      </c>
      <c r="F360" t="s">
        <v>41</v>
      </c>
      <c r="G360">
        <v>13</v>
      </c>
      <c r="H360">
        <v>18.82</v>
      </c>
      <c r="I360">
        <v>244.66</v>
      </c>
      <c r="J360">
        <v>6.49</v>
      </c>
      <c r="K360">
        <v>72.42</v>
      </c>
      <c r="L360" t="s">
        <v>42</v>
      </c>
      <c r="M360" t="s">
        <v>29</v>
      </c>
      <c r="N360" t="s">
        <v>30</v>
      </c>
      <c r="O360">
        <f t="shared" si="5"/>
        <v>29.600261587509198</v>
      </c>
    </row>
    <row r="361" spans="1:15" x14ac:dyDescent="0.3">
      <c r="A361" t="s">
        <v>769</v>
      </c>
      <c r="B361" t="s">
        <v>105</v>
      </c>
      <c r="C361" t="s">
        <v>506</v>
      </c>
      <c r="D361" t="s">
        <v>172</v>
      </c>
      <c r="E361" t="s">
        <v>103</v>
      </c>
      <c r="F361" t="s">
        <v>59</v>
      </c>
      <c r="G361">
        <v>41</v>
      </c>
      <c r="H361">
        <v>43.19</v>
      </c>
      <c r="I361">
        <v>1770.79</v>
      </c>
      <c r="J361">
        <v>83.28</v>
      </c>
      <c r="K361">
        <v>539.51</v>
      </c>
      <c r="L361" t="s">
        <v>28</v>
      </c>
      <c r="M361" t="s">
        <v>21</v>
      </c>
      <c r="N361" t="s">
        <v>173</v>
      </c>
      <c r="O361">
        <f t="shared" si="5"/>
        <v>30.467192608948551</v>
      </c>
    </row>
    <row r="362" spans="1:15" x14ac:dyDescent="0.3">
      <c r="A362" t="s">
        <v>770</v>
      </c>
      <c r="B362" t="s">
        <v>771</v>
      </c>
      <c r="C362" t="s">
        <v>76</v>
      </c>
      <c r="D362" t="s">
        <v>63</v>
      </c>
      <c r="E362" t="s">
        <v>103</v>
      </c>
      <c r="F362" t="s">
        <v>59</v>
      </c>
      <c r="G362">
        <v>40</v>
      </c>
      <c r="H362">
        <v>42.31</v>
      </c>
      <c r="I362">
        <v>1692.4</v>
      </c>
      <c r="J362">
        <v>118.59</v>
      </c>
      <c r="K362">
        <v>453.81</v>
      </c>
      <c r="L362" t="s">
        <v>28</v>
      </c>
      <c r="M362" t="s">
        <v>35</v>
      </c>
      <c r="N362" t="s">
        <v>66</v>
      </c>
      <c r="O362">
        <f t="shared" si="5"/>
        <v>26.814582840935948</v>
      </c>
    </row>
    <row r="363" spans="1:15" x14ac:dyDescent="0.3">
      <c r="A363" t="s">
        <v>772</v>
      </c>
      <c r="B363" t="s">
        <v>503</v>
      </c>
      <c r="C363" t="s">
        <v>407</v>
      </c>
      <c r="D363" t="s">
        <v>249</v>
      </c>
      <c r="E363" t="s">
        <v>40</v>
      </c>
      <c r="F363" t="s">
        <v>41</v>
      </c>
      <c r="G363">
        <v>1</v>
      </c>
      <c r="H363">
        <v>57.15</v>
      </c>
      <c r="I363">
        <v>57.15</v>
      </c>
      <c r="J363">
        <v>4.1100000000000003</v>
      </c>
      <c r="K363">
        <v>21.04</v>
      </c>
      <c r="L363" t="s">
        <v>28</v>
      </c>
      <c r="M363" t="s">
        <v>21</v>
      </c>
      <c r="N363" t="s">
        <v>66</v>
      </c>
      <c r="O363">
        <f t="shared" si="5"/>
        <v>36.815398075240594</v>
      </c>
    </row>
    <row r="364" spans="1:15" x14ac:dyDescent="0.3">
      <c r="A364" t="s">
        <v>773</v>
      </c>
      <c r="B364" t="s">
        <v>162</v>
      </c>
      <c r="C364" t="s">
        <v>235</v>
      </c>
      <c r="D364" t="s">
        <v>47</v>
      </c>
      <c r="E364" t="s">
        <v>54</v>
      </c>
      <c r="F364" t="s">
        <v>41</v>
      </c>
      <c r="G364">
        <v>15</v>
      </c>
      <c r="H364">
        <v>30.03</v>
      </c>
      <c r="I364">
        <v>450.45</v>
      </c>
      <c r="J364">
        <v>29.99</v>
      </c>
      <c r="K364">
        <v>120.46</v>
      </c>
      <c r="L364" t="s">
        <v>42</v>
      </c>
      <c r="M364" t="s">
        <v>29</v>
      </c>
      <c r="N364" t="s">
        <v>22</v>
      </c>
      <c r="O364">
        <f t="shared" si="5"/>
        <v>26.742146742146744</v>
      </c>
    </row>
    <row r="365" spans="1:15" x14ac:dyDescent="0.3">
      <c r="A365" t="s">
        <v>774</v>
      </c>
      <c r="B365" t="s">
        <v>775</v>
      </c>
      <c r="C365" t="s">
        <v>223</v>
      </c>
      <c r="D365" t="s">
        <v>39</v>
      </c>
      <c r="E365" t="s">
        <v>54</v>
      </c>
      <c r="F365" t="s">
        <v>41</v>
      </c>
      <c r="G365">
        <v>48</v>
      </c>
      <c r="H365">
        <v>30.91</v>
      </c>
      <c r="I365">
        <v>1483.68</v>
      </c>
      <c r="J365">
        <v>85.5</v>
      </c>
      <c r="K365">
        <v>438.18</v>
      </c>
      <c r="L365" t="s">
        <v>20</v>
      </c>
      <c r="M365" t="s">
        <v>29</v>
      </c>
      <c r="N365" t="s">
        <v>43</v>
      </c>
      <c r="O365">
        <f t="shared" si="5"/>
        <v>29.533322549336781</v>
      </c>
    </row>
    <row r="366" spans="1:15" x14ac:dyDescent="0.3">
      <c r="A366" t="s">
        <v>776</v>
      </c>
      <c r="B366" t="s">
        <v>777</v>
      </c>
      <c r="C366" t="s">
        <v>478</v>
      </c>
      <c r="D366" t="s">
        <v>53</v>
      </c>
      <c r="E366" t="s">
        <v>58</v>
      </c>
      <c r="F366" t="s">
        <v>59</v>
      </c>
      <c r="G366">
        <v>8</v>
      </c>
      <c r="H366">
        <v>32.19</v>
      </c>
      <c r="I366">
        <v>257.52</v>
      </c>
      <c r="J366">
        <v>11.85</v>
      </c>
      <c r="K366">
        <v>65.67</v>
      </c>
      <c r="L366" t="s">
        <v>20</v>
      </c>
      <c r="M366" t="s">
        <v>21</v>
      </c>
      <c r="N366" t="s">
        <v>22</v>
      </c>
      <c r="O366">
        <f t="shared" si="5"/>
        <v>25.500931966449208</v>
      </c>
    </row>
    <row r="367" spans="1:15" x14ac:dyDescent="0.3">
      <c r="A367" t="s">
        <v>778</v>
      </c>
      <c r="B367" t="s">
        <v>779</v>
      </c>
      <c r="C367" t="s">
        <v>201</v>
      </c>
      <c r="D367" t="s">
        <v>89</v>
      </c>
      <c r="E367" t="s">
        <v>48</v>
      </c>
      <c r="F367" t="s">
        <v>49</v>
      </c>
      <c r="G367">
        <v>22</v>
      </c>
      <c r="H367">
        <v>60.75</v>
      </c>
      <c r="I367">
        <v>1336.5</v>
      </c>
      <c r="J367">
        <v>38.340000000000003</v>
      </c>
      <c r="K367">
        <v>418.16</v>
      </c>
      <c r="L367" t="s">
        <v>20</v>
      </c>
      <c r="M367" t="s">
        <v>29</v>
      </c>
      <c r="N367" t="s">
        <v>66</v>
      </c>
      <c r="O367">
        <f t="shared" si="5"/>
        <v>31.287691732136182</v>
      </c>
    </row>
    <row r="368" spans="1:15" x14ac:dyDescent="0.3">
      <c r="A368" t="s">
        <v>780</v>
      </c>
      <c r="B368" t="s">
        <v>286</v>
      </c>
      <c r="C368" t="s">
        <v>157</v>
      </c>
      <c r="D368" t="s">
        <v>34</v>
      </c>
      <c r="E368" t="s">
        <v>48</v>
      </c>
      <c r="F368" t="s">
        <v>49</v>
      </c>
      <c r="G368">
        <v>38</v>
      </c>
      <c r="H368">
        <v>66.06</v>
      </c>
      <c r="I368">
        <v>2510.2800000000002</v>
      </c>
      <c r="J368">
        <v>50.37</v>
      </c>
      <c r="K368">
        <v>939.91</v>
      </c>
      <c r="L368" t="s">
        <v>20</v>
      </c>
      <c r="M368" t="s">
        <v>21</v>
      </c>
      <c r="N368" t="s">
        <v>30</v>
      </c>
      <c r="O368">
        <f t="shared" si="5"/>
        <v>37.442436700288411</v>
      </c>
    </row>
    <row r="369" spans="1:15" x14ac:dyDescent="0.3">
      <c r="A369" t="s">
        <v>781</v>
      </c>
      <c r="B369" t="s">
        <v>469</v>
      </c>
      <c r="C369" t="s">
        <v>123</v>
      </c>
      <c r="D369" t="s">
        <v>17</v>
      </c>
      <c r="E369" t="s">
        <v>18</v>
      </c>
      <c r="F369" t="s">
        <v>19</v>
      </c>
      <c r="G369">
        <v>33</v>
      </c>
      <c r="H369">
        <v>50.88</v>
      </c>
      <c r="I369">
        <v>1679.04</v>
      </c>
      <c r="J369">
        <v>61.48</v>
      </c>
      <c r="K369">
        <v>462.56</v>
      </c>
      <c r="L369" t="s">
        <v>20</v>
      </c>
      <c r="M369" t="s">
        <v>29</v>
      </c>
      <c r="N369" t="s">
        <v>22</v>
      </c>
      <c r="O369">
        <f t="shared" si="5"/>
        <v>27.549075662283212</v>
      </c>
    </row>
    <row r="370" spans="1:15" x14ac:dyDescent="0.3">
      <c r="A370" t="s">
        <v>782</v>
      </c>
      <c r="B370" t="s">
        <v>783</v>
      </c>
      <c r="C370" t="s">
        <v>384</v>
      </c>
      <c r="D370" t="s">
        <v>63</v>
      </c>
      <c r="E370" t="s">
        <v>103</v>
      </c>
      <c r="F370" t="s">
        <v>59</v>
      </c>
      <c r="G370">
        <v>49</v>
      </c>
      <c r="H370">
        <v>34.479999999999997</v>
      </c>
      <c r="I370">
        <v>1689.52</v>
      </c>
      <c r="J370">
        <v>53.06</v>
      </c>
      <c r="K370">
        <v>264.45999999999998</v>
      </c>
      <c r="L370" t="s">
        <v>42</v>
      </c>
      <c r="M370" t="s">
        <v>35</v>
      </c>
      <c r="N370" t="s">
        <v>66</v>
      </c>
      <c r="O370">
        <f t="shared" si="5"/>
        <v>15.652966523036127</v>
      </c>
    </row>
    <row r="371" spans="1:15" x14ac:dyDescent="0.3">
      <c r="A371" t="s">
        <v>784</v>
      </c>
      <c r="B371" t="s">
        <v>703</v>
      </c>
      <c r="C371" t="s">
        <v>235</v>
      </c>
      <c r="D371" t="s">
        <v>93</v>
      </c>
      <c r="E371" t="s">
        <v>54</v>
      </c>
      <c r="F371" t="s">
        <v>41</v>
      </c>
      <c r="G371">
        <v>31</v>
      </c>
      <c r="H371">
        <v>25.43</v>
      </c>
      <c r="I371">
        <v>788.33</v>
      </c>
      <c r="J371">
        <v>57.81</v>
      </c>
      <c r="K371">
        <v>110.52</v>
      </c>
      <c r="L371" t="s">
        <v>20</v>
      </c>
      <c r="M371" t="s">
        <v>29</v>
      </c>
      <c r="N371" t="s">
        <v>66</v>
      </c>
      <c r="O371">
        <f t="shared" si="5"/>
        <v>14.019509596235077</v>
      </c>
    </row>
    <row r="372" spans="1:15" x14ac:dyDescent="0.3">
      <c r="A372" t="s">
        <v>785</v>
      </c>
      <c r="B372" t="s">
        <v>434</v>
      </c>
      <c r="C372" t="s">
        <v>327</v>
      </c>
      <c r="D372" t="s">
        <v>207</v>
      </c>
      <c r="E372" t="s">
        <v>54</v>
      </c>
      <c r="F372" t="s">
        <v>41</v>
      </c>
      <c r="G372">
        <v>29</v>
      </c>
      <c r="H372">
        <v>31.68</v>
      </c>
      <c r="I372">
        <v>918.72</v>
      </c>
      <c r="J372">
        <v>22.22</v>
      </c>
      <c r="K372">
        <v>316.5</v>
      </c>
      <c r="L372" t="s">
        <v>42</v>
      </c>
      <c r="M372" t="s">
        <v>21</v>
      </c>
      <c r="N372" t="s">
        <v>30</v>
      </c>
      <c r="O372">
        <f t="shared" si="5"/>
        <v>34.450104493207938</v>
      </c>
    </row>
    <row r="373" spans="1:15" x14ac:dyDescent="0.3">
      <c r="A373" t="s">
        <v>786</v>
      </c>
      <c r="B373" t="s">
        <v>557</v>
      </c>
      <c r="C373" t="s">
        <v>526</v>
      </c>
      <c r="D373" t="s">
        <v>82</v>
      </c>
      <c r="E373" t="s">
        <v>103</v>
      </c>
      <c r="F373" t="s">
        <v>59</v>
      </c>
      <c r="G373">
        <v>42</v>
      </c>
      <c r="H373">
        <v>33.89</v>
      </c>
      <c r="I373">
        <v>1423.38</v>
      </c>
      <c r="J373">
        <v>85.4</v>
      </c>
      <c r="K373">
        <v>161.97999999999999</v>
      </c>
      <c r="L373" t="s">
        <v>42</v>
      </c>
      <c r="M373" t="s">
        <v>21</v>
      </c>
      <c r="N373" t="s">
        <v>66</v>
      </c>
      <c r="O373">
        <f t="shared" si="5"/>
        <v>11.379954755581782</v>
      </c>
    </row>
    <row r="374" spans="1:15" x14ac:dyDescent="0.3">
      <c r="A374" t="s">
        <v>787</v>
      </c>
      <c r="B374" t="s">
        <v>788</v>
      </c>
      <c r="C374" t="s">
        <v>57</v>
      </c>
      <c r="D374" t="s">
        <v>82</v>
      </c>
      <c r="E374" t="s">
        <v>27</v>
      </c>
      <c r="F374" t="s">
        <v>19</v>
      </c>
      <c r="G374">
        <v>13</v>
      </c>
      <c r="H374">
        <v>21.75</v>
      </c>
      <c r="I374">
        <v>282.75</v>
      </c>
      <c r="J374">
        <v>12.5</v>
      </c>
      <c r="K374">
        <v>36.25</v>
      </c>
      <c r="L374" t="s">
        <v>42</v>
      </c>
      <c r="M374" t="s">
        <v>29</v>
      </c>
      <c r="N374" t="s">
        <v>66</v>
      </c>
      <c r="O374">
        <f t="shared" si="5"/>
        <v>12.820512820512819</v>
      </c>
    </row>
    <row r="375" spans="1:15" x14ac:dyDescent="0.3">
      <c r="A375" t="s">
        <v>789</v>
      </c>
      <c r="B375" t="s">
        <v>790</v>
      </c>
      <c r="C375" t="s">
        <v>128</v>
      </c>
      <c r="D375" t="s">
        <v>93</v>
      </c>
      <c r="E375" t="s">
        <v>58</v>
      </c>
      <c r="F375" t="s">
        <v>59</v>
      </c>
      <c r="G375">
        <v>25</v>
      </c>
      <c r="H375">
        <v>37.58</v>
      </c>
      <c r="I375">
        <v>939.5</v>
      </c>
      <c r="J375">
        <v>48.44</v>
      </c>
      <c r="K375">
        <v>328.56</v>
      </c>
      <c r="L375" t="s">
        <v>42</v>
      </c>
      <c r="M375" t="s">
        <v>35</v>
      </c>
      <c r="N375" t="s">
        <v>66</v>
      </c>
      <c r="O375">
        <f t="shared" si="5"/>
        <v>34.971793507184671</v>
      </c>
    </row>
    <row r="376" spans="1:15" x14ac:dyDescent="0.3">
      <c r="A376" t="s">
        <v>791</v>
      </c>
      <c r="B376" t="s">
        <v>792</v>
      </c>
      <c r="C376" t="s">
        <v>447</v>
      </c>
      <c r="D376" t="s">
        <v>207</v>
      </c>
      <c r="E376" t="s">
        <v>54</v>
      </c>
      <c r="F376" t="s">
        <v>41</v>
      </c>
      <c r="G376">
        <v>16</v>
      </c>
      <c r="H376">
        <v>25.25</v>
      </c>
      <c r="I376">
        <v>404</v>
      </c>
      <c r="J376">
        <v>18.75</v>
      </c>
      <c r="K376">
        <v>65.25</v>
      </c>
      <c r="L376" t="s">
        <v>28</v>
      </c>
      <c r="M376" t="s">
        <v>35</v>
      </c>
      <c r="N376" t="s">
        <v>30</v>
      </c>
      <c r="O376">
        <f t="shared" si="5"/>
        <v>16.150990099009903</v>
      </c>
    </row>
    <row r="377" spans="1:15" x14ac:dyDescent="0.3">
      <c r="A377" t="s">
        <v>793</v>
      </c>
      <c r="B377" t="s">
        <v>97</v>
      </c>
      <c r="C377" t="s">
        <v>348</v>
      </c>
      <c r="D377" t="s">
        <v>93</v>
      </c>
      <c r="E377" t="s">
        <v>69</v>
      </c>
      <c r="F377" t="s">
        <v>59</v>
      </c>
      <c r="G377">
        <v>37</v>
      </c>
      <c r="H377">
        <v>25.85</v>
      </c>
      <c r="I377">
        <v>956.45</v>
      </c>
      <c r="J377">
        <v>31.7</v>
      </c>
      <c r="K377">
        <v>351.25</v>
      </c>
      <c r="L377" t="s">
        <v>42</v>
      </c>
      <c r="M377" t="s">
        <v>35</v>
      </c>
      <c r="N377" t="s">
        <v>66</v>
      </c>
      <c r="O377">
        <f t="shared" si="5"/>
        <v>36.724345234983531</v>
      </c>
    </row>
    <row r="378" spans="1:15" x14ac:dyDescent="0.3">
      <c r="A378" t="s">
        <v>794</v>
      </c>
      <c r="B378" t="s">
        <v>388</v>
      </c>
      <c r="C378" t="s">
        <v>62</v>
      </c>
      <c r="D378" t="s">
        <v>82</v>
      </c>
      <c r="E378" t="s">
        <v>54</v>
      </c>
      <c r="F378" t="s">
        <v>41</v>
      </c>
      <c r="G378">
        <v>1</v>
      </c>
      <c r="H378">
        <v>25.72</v>
      </c>
      <c r="I378">
        <v>25.72</v>
      </c>
      <c r="J378">
        <v>2.04</v>
      </c>
      <c r="K378">
        <v>3.68</v>
      </c>
      <c r="L378" t="s">
        <v>42</v>
      </c>
      <c r="M378" t="s">
        <v>35</v>
      </c>
      <c r="N378" t="s">
        <v>66</v>
      </c>
      <c r="O378">
        <f t="shared" si="5"/>
        <v>14.307931570762053</v>
      </c>
    </row>
    <row r="379" spans="1:15" x14ac:dyDescent="0.3">
      <c r="A379" t="s">
        <v>795</v>
      </c>
      <c r="B379" t="s">
        <v>195</v>
      </c>
      <c r="C379" t="s">
        <v>506</v>
      </c>
      <c r="D379" t="s">
        <v>82</v>
      </c>
      <c r="E379" t="s">
        <v>103</v>
      </c>
      <c r="F379" t="s">
        <v>59</v>
      </c>
      <c r="G379">
        <v>48</v>
      </c>
      <c r="H379">
        <v>47.05</v>
      </c>
      <c r="I379">
        <v>2258.4</v>
      </c>
      <c r="J379">
        <v>179.44</v>
      </c>
      <c r="K379">
        <v>734.96</v>
      </c>
      <c r="L379" t="s">
        <v>28</v>
      </c>
      <c r="M379" t="s">
        <v>29</v>
      </c>
      <c r="N379" t="s">
        <v>66</v>
      </c>
      <c r="O379">
        <f t="shared" si="5"/>
        <v>32.543393552957845</v>
      </c>
    </row>
    <row r="380" spans="1:15" x14ac:dyDescent="0.3">
      <c r="A380" t="s">
        <v>796</v>
      </c>
      <c r="B380" t="s">
        <v>797</v>
      </c>
      <c r="C380" t="s">
        <v>163</v>
      </c>
      <c r="D380" t="s">
        <v>39</v>
      </c>
      <c r="E380" t="s">
        <v>54</v>
      </c>
      <c r="F380" t="s">
        <v>41</v>
      </c>
      <c r="G380">
        <v>48</v>
      </c>
      <c r="H380">
        <v>29.94</v>
      </c>
      <c r="I380">
        <v>1437.12</v>
      </c>
      <c r="J380">
        <v>30.14</v>
      </c>
      <c r="K380">
        <v>446.98</v>
      </c>
      <c r="L380" t="s">
        <v>28</v>
      </c>
      <c r="M380" t="s">
        <v>29</v>
      </c>
      <c r="N380" t="s">
        <v>43</v>
      </c>
      <c r="O380">
        <f t="shared" si="5"/>
        <v>31.102482743264311</v>
      </c>
    </row>
    <row r="381" spans="1:15" x14ac:dyDescent="0.3">
      <c r="A381" t="s">
        <v>798</v>
      </c>
      <c r="B381" t="s">
        <v>799</v>
      </c>
      <c r="C381" t="s">
        <v>553</v>
      </c>
      <c r="D381" t="s">
        <v>34</v>
      </c>
      <c r="E381" t="s">
        <v>58</v>
      </c>
      <c r="F381" t="s">
        <v>59</v>
      </c>
      <c r="G381">
        <v>12</v>
      </c>
      <c r="H381">
        <v>35.68</v>
      </c>
      <c r="I381">
        <v>428.16</v>
      </c>
      <c r="J381">
        <v>13.07</v>
      </c>
      <c r="K381">
        <v>145.09</v>
      </c>
      <c r="L381" t="s">
        <v>28</v>
      </c>
      <c r="M381" t="s">
        <v>35</v>
      </c>
      <c r="N381" t="s">
        <v>30</v>
      </c>
      <c r="O381">
        <f t="shared" si="5"/>
        <v>33.886864723467866</v>
      </c>
    </row>
    <row r="382" spans="1:15" x14ac:dyDescent="0.3">
      <c r="A382" t="s">
        <v>800</v>
      </c>
      <c r="B382" t="s">
        <v>673</v>
      </c>
      <c r="C382" t="s">
        <v>422</v>
      </c>
      <c r="D382" t="s">
        <v>17</v>
      </c>
      <c r="E382" t="s">
        <v>40</v>
      </c>
      <c r="F382" t="s">
        <v>41</v>
      </c>
      <c r="G382">
        <v>30</v>
      </c>
      <c r="H382">
        <v>49.32</v>
      </c>
      <c r="I382">
        <v>1479.6</v>
      </c>
      <c r="J382">
        <v>105.97</v>
      </c>
      <c r="K382">
        <v>413.63</v>
      </c>
      <c r="L382" t="s">
        <v>28</v>
      </c>
      <c r="M382" t="s">
        <v>29</v>
      </c>
      <c r="N382" t="s">
        <v>22</v>
      </c>
      <c r="O382">
        <f t="shared" si="5"/>
        <v>27.95552852122195</v>
      </c>
    </row>
    <row r="383" spans="1:15" x14ac:dyDescent="0.3">
      <c r="A383" t="s">
        <v>801</v>
      </c>
      <c r="B383" t="s">
        <v>590</v>
      </c>
      <c r="C383" t="s">
        <v>442</v>
      </c>
      <c r="D383" t="s">
        <v>137</v>
      </c>
      <c r="E383" t="s">
        <v>103</v>
      </c>
      <c r="F383" t="s">
        <v>59</v>
      </c>
      <c r="G383">
        <v>27</v>
      </c>
      <c r="H383">
        <v>37.68</v>
      </c>
      <c r="I383">
        <v>1017.36</v>
      </c>
      <c r="J383">
        <v>80.739999999999995</v>
      </c>
      <c r="K383">
        <v>180.62</v>
      </c>
      <c r="L383" t="s">
        <v>42</v>
      </c>
      <c r="M383" t="s">
        <v>21</v>
      </c>
      <c r="N383" t="s">
        <v>30</v>
      </c>
      <c r="O383">
        <f t="shared" si="5"/>
        <v>17.7537941338366</v>
      </c>
    </row>
    <row r="384" spans="1:15" x14ac:dyDescent="0.3">
      <c r="A384" t="s">
        <v>802</v>
      </c>
      <c r="B384" t="s">
        <v>803</v>
      </c>
      <c r="C384" t="s">
        <v>243</v>
      </c>
      <c r="D384" t="s">
        <v>34</v>
      </c>
      <c r="E384" t="s">
        <v>64</v>
      </c>
      <c r="F384" t="s">
        <v>65</v>
      </c>
      <c r="G384">
        <v>39</v>
      </c>
      <c r="H384">
        <v>36.340000000000003</v>
      </c>
      <c r="I384">
        <v>1417.26</v>
      </c>
      <c r="J384">
        <v>67</v>
      </c>
      <c r="K384">
        <v>375.26</v>
      </c>
      <c r="L384" t="s">
        <v>42</v>
      </c>
      <c r="M384" t="s">
        <v>29</v>
      </c>
      <c r="N384" t="s">
        <v>30</v>
      </c>
      <c r="O384">
        <f t="shared" si="5"/>
        <v>26.477851629200007</v>
      </c>
    </row>
    <row r="385" spans="1:15" x14ac:dyDescent="0.3">
      <c r="A385" t="s">
        <v>804</v>
      </c>
      <c r="B385" t="s">
        <v>805</v>
      </c>
      <c r="C385" t="s">
        <v>62</v>
      </c>
      <c r="D385" t="s">
        <v>63</v>
      </c>
      <c r="E385" t="s">
        <v>69</v>
      </c>
      <c r="F385" t="s">
        <v>59</v>
      </c>
      <c r="G385">
        <v>16</v>
      </c>
      <c r="H385">
        <v>24.33</v>
      </c>
      <c r="I385">
        <v>389.28</v>
      </c>
      <c r="J385">
        <v>22.33</v>
      </c>
      <c r="K385">
        <v>118.95</v>
      </c>
      <c r="L385" t="s">
        <v>20</v>
      </c>
      <c r="M385" t="s">
        <v>35</v>
      </c>
      <c r="N385" t="s">
        <v>66</v>
      </c>
      <c r="O385">
        <f t="shared" si="5"/>
        <v>30.556411837237977</v>
      </c>
    </row>
    <row r="386" spans="1:15" x14ac:dyDescent="0.3">
      <c r="A386" t="s">
        <v>806</v>
      </c>
      <c r="B386" t="s">
        <v>514</v>
      </c>
      <c r="C386" t="s">
        <v>442</v>
      </c>
      <c r="D386" t="s">
        <v>89</v>
      </c>
      <c r="E386" t="s">
        <v>69</v>
      </c>
      <c r="F386" t="s">
        <v>59</v>
      </c>
      <c r="G386">
        <v>40</v>
      </c>
      <c r="H386">
        <v>22.28</v>
      </c>
      <c r="I386">
        <v>891.2</v>
      </c>
      <c r="J386">
        <v>32.729999999999997</v>
      </c>
      <c r="K386">
        <v>238.47</v>
      </c>
      <c r="L386" t="s">
        <v>20</v>
      </c>
      <c r="M386" t="s">
        <v>29</v>
      </c>
      <c r="N386" t="s">
        <v>66</v>
      </c>
      <c r="O386">
        <f t="shared" si="5"/>
        <v>26.758303411131056</v>
      </c>
    </row>
    <row r="387" spans="1:15" x14ac:dyDescent="0.3">
      <c r="A387" t="s">
        <v>807</v>
      </c>
      <c r="B387" t="s">
        <v>95</v>
      </c>
      <c r="C387" t="s">
        <v>136</v>
      </c>
      <c r="D387" t="s">
        <v>93</v>
      </c>
      <c r="E387" t="s">
        <v>73</v>
      </c>
      <c r="F387" t="s">
        <v>41</v>
      </c>
      <c r="G387">
        <v>45</v>
      </c>
      <c r="H387">
        <v>21.71</v>
      </c>
      <c r="I387">
        <v>976.95</v>
      </c>
      <c r="J387">
        <v>51.6</v>
      </c>
      <c r="K387">
        <v>351.6</v>
      </c>
      <c r="L387" t="s">
        <v>20</v>
      </c>
      <c r="M387" t="s">
        <v>21</v>
      </c>
      <c r="N387" t="s">
        <v>66</v>
      </c>
      <c r="O387">
        <f t="shared" ref="O387:O450" si="6">K387/I387*100</f>
        <v>35.989559342852758</v>
      </c>
    </row>
    <row r="388" spans="1:15" x14ac:dyDescent="0.3">
      <c r="A388" t="s">
        <v>808</v>
      </c>
      <c r="B388" t="s">
        <v>444</v>
      </c>
      <c r="C388" t="s">
        <v>255</v>
      </c>
      <c r="D388" t="s">
        <v>207</v>
      </c>
      <c r="E388" t="s">
        <v>64</v>
      </c>
      <c r="F388" t="s">
        <v>65</v>
      </c>
      <c r="G388">
        <v>8</v>
      </c>
      <c r="H388">
        <v>31.07</v>
      </c>
      <c r="I388">
        <v>248.56</v>
      </c>
      <c r="J388">
        <v>10.97</v>
      </c>
      <c r="K388">
        <v>37.590000000000003</v>
      </c>
      <c r="L388" t="s">
        <v>20</v>
      </c>
      <c r="M388" t="s">
        <v>29</v>
      </c>
      <c r="N388" t="s">
        <v>30</v>
      </c>
      <c r="O388">
        <f t="shared" si="6"/>
        <v>15.123109108464758</v>
      </c>
    </row>
    <row r="389" spans="1:15" x14ac:dyDescent="0.3">
      <c r="A389" t="s">
        <v>809</v>
      </c>
      <c r="B389" t="s">
        <v>810</v>
      </c>
      <c r="C389" t="s">
        <v>336</v>
      </c>
      <c r="D389" t="s">
        <v>137</v>
      </c>
      <c r="E389" t="s">
        <v>73</v>
      </c>
      <c r="F389" t="s">
        <v>41</v>
      </c>
      <c r="G389">
        <v>47</v>
      </c>
      <c r="H389">
        <v>21.93</v>
      </c>
      <c r="I389">
        <v>1030.71</v>
      </c>
      <c r="J389">
        <v>70.989999999999995</v>
      </c>
      <c r="K389">
        <v>360.47</v>
      </c>
      <c r="L389" t="s">
        <v>42</v>
      </c>
      <c r="M389" t="s">
        <v>21</v>
      </c>
      <c r="N389" t="s">
        <v>30</v>
      </c>
      <c r="O389">
        <f t="shared" si="6"/>
        <v>34.972979790629758</v>
      </c>
    </row>
    <row r="390" spans="1:15" x14ac:dyDescent="0.3">
      <c r="A390" t="s">
        <v>811</v>
      </c>
      <c r="B390" t="s">
        <v>812</v>
      </c>
      <c r="C390" t="s">
        <v>131</v>
      </c>
      <c r="D390" t="s">
        <v>137</v>
      </c>
      <c r="E390" t="s">
        <v>73</v>
      </c>
      <c r="F390" t="s">
        <v>41</v>
      </c>
      <c r="G390">
        <v>46</v>
      </c>
      <c r="H390">
        <v>21.46</v>
      </c>
      <c r="I390">
        <v>987.16</v>
      </c>
      <c r="J390">
        <v>21.64</v>
      </c>
      <c r="K390">
        <v>379.02</v>
      </c>
      <c r="L390" t="s">
        <v>28</v>
      </c>
      <c r="M390" t="s">
        <v>21</v>
      </c>
      <c r="N390" t="s">
        <v>30</v>
      </c>
      <c r="O390">
        <f t="shared" si="6"/>
        <v>38.394991693342519</v>
      </c>
    </row>
    <row r="391" spans="1:15" x14ac:dyDescent="0.3">
      <c r="A391" t="s">
        <v>813</v>
      </c>
      <c r="B391" t="s">
        <v>814</v>
      </c>
      <c r="C391" t="s">
        <v>92</v>
      </c>
      <c r="D391" t="s">
        <v>17</v>
      </c>
      <c r="E391" t="s">
        <v>103</v>
      </c>
      <c r="F391" t="s">
        <v>59</v>
      </c>
      <c r="G391">
        <v>45</v>
      </c>
      <c r="H391">
        <v>47.1</v>
      </c>
      <c r="I391">
        <v>2119.5</v>
      </c>
      <c r="J391">
        <v>120.16</v>
      </c>
      <c r="K391">
        <v>739.34</v>
      </c>
      <c r="L391" t="s">
        <v>28</v>
      </c>
      <c r="M391" t="s">
        <v>29</v>
      </c>
      <c r="N391" t="s">
        <v>22</v>
      </c>
      <c r="O391">
        <f t="shared" si="6"/>
        <v>34.882755366831802</v>
      </c>
    </row>
    <row r="392" spans="1:15" x14ac:dyDescent="0.3">
      <c r="A392" t="s">
        <v>815</v>
      </c>
      <c r="B392" t="s">
        <v>286</v>
      </c>
      <c r="C392" t="s">
        <v>16</v>
      </c>
      <c r="D392" t="s">
        <v>249</v>
      </c>
      <c r="E392" t="s">
        <v>18</v>
      </c>
      <c r="F392" t="s">
        <v>19</v>
      </c>
      <c r="G392">
        <v>2</v>
      </c>
      <c r="H392">
        <v>58.32</v>
      </c>
      <c r="I392">
        <v>116.64</v>
      </c>
      <c r="J392">
        <v>8.99</v>
      </c>
      <c r="K392">
        <v>37.65</v>
      </c>
      <c r="L392" t="s">
        <v>20</v>
      </c>
      <c r="M392" t="s">
        <v>29</v>
      </c>
      <c r="N392" t="s">
        <v>66</v>
      </c>
      <c r="O392">
        <f t="shared" si="6"/>
        <v>32.278806584362144</v>
      </c>
    </row>
    <row r="393" spans="1:15" x14ac:dyDescent="0.3">
      <c r="A393" t="s">
        <v>816</v>
      </c>
      <c r="B393" t="s">
        <v>817</v>
      </c>
      <c r="C393" t="s">
        <v>442</v>
      </c>
      <c r="D393" t="s">
        <v>137</v>
      </c>
      <c r="E393" t="s">
        <v>18</v>
      </c>
      <c r="F393" t="s">
        <v>19</v>
      </c>
      <c r="G393">
        <v>31</v>
      </c>
      <c r="H393">
        <v>61.34</v>
      </c>
      <c r="I393">
        <v>1901.54</v>
      </c>
      <c r="J393">
        <v>147.43</v>
      </c>
      <c r="K393">
        <v>669.11</v>
      </c>
      <c r="L393" t="s">
        <v>28</v>
      </c>
      <c r="M393" t="s">
        <v>21</v>
      </c>
      <c r="N393" t="s">
        <v>30</v>
      </c>
      <c r="O393">
        <f t="shared" si="6"/>
        <v>35.18779515550554</v>
      </c>
    </row>
    <row r="394" spans="1:15" x14ac:dyDescent="0.3">
      <c r="A394" t="s">
        <v>818</v>
      </c>
      <c r="B394" t="s">
        <v>819</v>
      </c>
      <c r="C394" t="s">
        <v>232</v>
      </c>
      <c r="D394" t="s">
        <v>47</v>
      </c>
      <c r="E394" t="s">
        <v>64</v>
      </c>
      <c r="F394" t="s">
        <v>65</v>
      </c>
      <c r="G394">
        <v>15</v>
      </c>
      <c r="H394">
        <v>43.9</v>
      </c>
      <c r="I394">
        <v>658.5</v>
      </c>
      <c r="J394">
        <v>36.479999999999997</v>
      </c>
      <c r="K394">
        <v>247.02</v>
      </c>
      <c r="L394" t="s">
        <v>42</v>
      </c>
      <c r="M394" t="s">
        <v>29</v>
      </c>
      <c r="N394" t="s">
        <v>22</v>
      </c>
      <c r="O394">
        <f t="shared" si="6"/>
        <v>37.512528473804103</v>
      </c>
    </row>
    <row r="395" spans="1:15" x14ac:dyDescent="0.3">
      <c r="A395" t="s">
        <v>820</v>
      </c>
      <c r="B395" t="s">
        <v>821</v>
      </c>
      <c r="C395" t="s">
        <v>232</v>
      </c>
      <c r="D395" t="s">
        <v>34</v>
      </c>
      <c r="E395" t="s">
        <v>73</v>
      </c>
      <c r="F395" t="s">
        <v>41</v>
      </c>
      <c r="G395">
        <v>4</v>
      </c>
      <c r="H395">
        <v>20.53</v>
      </c>
      <c r="I395">
        <v>82.12</v>
      </c>
      <c r="J395">
        <v>4.05</v>
      </c>
      <c r="K395">
        <v>27.07</v>
      </c>
      <c r="L395" t="s">
        <v>20</v>
      </c>
      <c r="M395" t="s">
        <v>35</v>
      </c>
      <c r="N395" t="s">
        <v>30</v>
      </c>
      <c r="O395">
        <f t="shared" si="6"/>
        <v>32.963955187530445</v>
      </c>
    </row>
    <row r="396" spans="1:15" x14ac:dyDescent="0.3">
      <c r="A396" t="s">
        <v>822</v>
      </c>
      <c r="B396" t="s">
        <v>400</v>
      </c>
      <c r="C396" t="s">
        <v>204</v>
      </c>
      <c r="D396" t="s">
        <v>172</v>
      </c>
      <c r="E396" t="s">
        <v>54</v>
      </c>
      <c r="F396" t="s">
        <v>41</v>
      </c>
      <c r="G396">
        <v>6</v>
      </c>
      <c r="H396">
        <v>24.7</v>
      </c>
      <c r="I396">
        <v>148.19999999999999</v>
      </c>
      <c r="J396">
        <v>3.76</v>
      </c>
      <c r="K396">
        <v>24.44</v>
      </c>
      <c r="L396" t="s">
        <v>42</v>
      </c>
      <c r="M396" t="s">
        <v>21</v>
      </c>
      <c r="N396" t="s">
        <v>173</v>
      </c>
      <c r="O396">
        <f t="shared" si="6"/>
        <v>16.491228070175438</v>
      </c>
    </row>
    <row r="397" spans="1:15" x14ac:dyDescent="0.3">
      <c r="A397" t="s">
        <v>823</v>
      </c>
      <c r="B397" t="s">
        <v>824</v>
      </c>
      <c r="C397" t="s">
        <v>488</v>
      </c>
      <c r="D397" t="s">
        <v>39</v>
      </c>
      <c r="E397" t="s">
        <v>73</v>
      </c>
      <c r="F397" t="s">
        <v>41</v>
      </c>
      <c r="G397">
        <v>19</v>
      </c>
      <c r="H397">
        <v>19.170000000000002</v>
      </c>
      <c r="I397">
        <v>364.23</v>
      </c>
      <c r="J397">
        <v>15.16</v>
      </c>
      <c r="K397">
        <v>106.82</v>
      </c>
      <c r="L397" t="s">
        <v>28</v>
      </c>
      <c r="M397" t="s">
        <v>29</v>
      </c>
      <c r="N397" t="s">
        <v>43</v>
      </c>
      <c r="O397">
        <f t="shared" si="6"/>
        <v>29.32762265601405</v>
      </c>
    </row>
    <row r="398" spans="1:15" x14ac:dyDescent="0.3">
      <c r="A398" t="s">
        <v>825</v>
      </c>
      <c r="B398" t="s">
        <v>209</v>
      </c>
      <c r="C398" t="s">
        <v>597</v>
      </c>
      <c r="D398" t="s">
        <v>63</v>
      </c>
      <c r="E398" t="s">
        <v>48</v>
      </c>
      <c r="F398" t="s">
        <v>49</v>
      </c>
      <c r="G398">
        <v>2</v>
      </c>
      <c r="H398">
        <v>55.28</v>
      </c>
      <c r="I398">
        <v>110.56</v>
      </c>
      <c r="J398">
        <v>5.37</v>
      </c>
      <c r="K398">
        <v>25.19</v>
      </c>
      <c r="L398" t="s">
        <v>42</v>
      </c>
      <c r="M398" t="s">
        <v>29</v>
      </c>
      <c r="N398" t="s">
        <v>66</v>
      </c>
      <c r="O398">
        <f t="shared" si="6"/>
        <v>22.78400868306802</v>
      </c>
    </row>
    <row r="399" spans="1:15" x14ac:dyDescent="0.3">
      <c r="A399" t="s">
        <v>826</v>
      </c>
      <c r="B399" t="s">
        <v>827</v>
      </c>
      <c r="C399" t="s">
        <v>301</v>
      </c>
      <c r="D399" t="s">
        <v>39</v>
      </c>
      <c r="E399" t="s">
        <v>64</v>
      </c>
      <c r="F399" t="s">
        <v>65</v>
      </c>
      <c r="G399">
        <v>49</v>
      </c>
      <c r="H399">
        <v>43.91</v>
      </c>
      <c r="I399">
        <v>2151.59</v>
      </c>
      <c r="J399">
        <v>63.55</v>
      </c>
      <c r="K399">
        <v>863.04</v>
      </c>
      <c r="L399" t="s">
        <v>20</v>
      </c>
      <c r="M399" t="s">
        <v>29</v>
      </c>
      <c r="N399" t="s">
        <v>43</v>
      </c>
      <c r="O399">
        <f t="shared" si="6"/>
        <v>40.111731324276462</v>
      </c>
    </row>
    <row r="400" spans="1:15" x14ac:dyDescent="0.3">
      <c r="A400" t="s">
        <v>828</v>
      </c>
      <c r="B400" t="s">
        <v>829</v>
      </c>
      <c r="C400" t="s">
        <v>274</v>
      </c>
      <c r="D400" t="s">
        <v>39</v>
      </c>
      <c r="E400" t="s">
        <v>64</v>
      </c>
      <c r="F400" t="s">
        <v>65</v>
      </c>
      <c r="G400">
        <v>29</v>
      </c>
      <c r="H400">
        <v>41.84</v>
      </c>
      <c r="I400">
        <v>1213.3599999999999</v>
      </c>
      <c r="J400">
        <v>56.83</v>
      </c>
      <c r="K400">
        <v>431.53</v>
      </c>
      <c r="L400" t="s">
        <v>42</v>
      </c>
      <c r="M400" t="s">
        <v>35</v>
      </c>
      <c r="N400" t="s">
        <v>43</v>
      </c>
      <c r="O400">
        <f t="shared" si="6"/>
        <v>35.564877694995715</v>
      </c>
    </row>
    <row r="401" spans="1:15" x14ac:dyDescent="0.3">
      <c r="A401" t="s">
        <v>830</v>
      </c>
      <c r="B401" t="s">
        <v>765</v>
      </c>
      <c r="C401" t="s">
        <v>248</v>
      </c>
      <c r="D401" t="s">
        <v>107</v>
      </c>
      <c r="E401" t="s">
        <v>69</v>
      </c>
      <c r="F401" t="s">
        <v>59</v>
      </c>
      <c r="G401">
        <v>43</v>
      </c>
      <c r="H401">
        <v>27.41</v>
      </c>
      <c r="I401">
        <v>1178.6300000000001</v>
      </c>
      <c r="J401">
        <v>55.82</v>
      </c>
      <c r="K401">
        <v>456.31</v>
      </c>
      <c r="L401" t="s">
        <v>42</v>
      </c>
      <c r="M401" t="s">
        <v>29</v>
      </c>
      <c r="N401" t="s">
        <v>108</v>
      </c>
      <c r="O401">
        <f t="shared" si="6"/>
        <v>38.715288088713166</v>
      </c>
    </row>
    <row r="402" spans="1:15" x14ac:dyDescent="0.3">
      <c r="A402" t="s">
        <v>831</v>
      </c>
      <c r="B402" t="s">
        <v>237</v>
      </c>
      <c r="C402" t="s">
        <v>710</v>
      </c>
      <c r="D402" t="s">
        <v>53</v>
      </c>
      <c r="E402" t="s">
        <v>54</v>
      </c>
      <c r="F402" t="s">
        <v>41</v>
      </c>
      <c r="G402">
        <v>28</v>
      </c>
      <c r="H402">
        <v>31.84</v>
      </c>
      <c r="I402">
        <v>891.52</v>
      </c>
      <c r="J402">
        <v>54.24</v>
      </c>
      <c r="K402">
        <v>277.27999999999997</v>
      </c>
      <c r="L402" t="s">
        <v>20</v>
      </c>
      <c r="M402" t="s">
        <v>29</v>
      </c>
      <c r="N402" t="s">
        <v>22</v>
      </c>
      <c r="O402">
        <f t="shared" si="6"/>
        <v>31.10193826274228</v>
      </c>
    </row>
    <row r="403" spans="1:15" x14ac:dyDescent="0.3">
      <c r="A403" t="s">
        <v>832</v>
      </c>
      <c r="B403" t="s">
        <v>386</v>
      </c>
      <c r="C403" t="s">
        <v>429</v>
      </c>
      <c r="D403" t="s">
        <v>63</v>
      </c>
      <c r="E403" t="s">
        <v>64</v>
      </c>
      <c r="F403" t="s">
        <v>65</v>
      </c>
      <c r="G403">
        <v>42</v>
      </c>
      <c r="H403">
        <v>35.840000000000003</v>
      </c>
      <c r="I403">
        <v>1505.28</v>
      </c>
      <c r="J403">
        <v>60.65</v>
      </c>
      <c r="K403">
        <v>394.63</v>
      </c>
      <c r="L403" t="s">
        <v>42</v>
      </c>
      <c r="M403" t="s">
        <v>29</v>
      </c>
      <c r="N403" t="s">
        <v>66</v>
      </c>
      <c r="O403">
        <f t="shared" si="6"/>
        <v>26.2163849914966</v>
      </c>
    </row>
    <row r="404" spans="1:15" x14ac:dyDescent="0.3">
      <c r="A404" t="s">
        <v>833</v>
      </c>
      <c r="B404" t="s">
        <v>548</v>
      </c>
      <c r="C404" t="s">
        <v>72</v>
      </c>
      <c r="D404" t="s">
        <v>82</v>
      </c>
      <c r="E404" t="s">
        <v>58</v>
      </c>
      <c r="F404" t="s">
        <v>59</v>
      </c>
      <c r="G404">
        <v>22</v>
      </c>
      <c r="H404">
        <v>30.55</v>
      </c>
      <c r="I404">
        <v>672.1</v>
      </c>
      <c r="J404">
        <v>46.8</v>
      </c>
      <c r="K404">
        <v>130.30000000000001</v>
      </c>
      <c r="L404" t="s">
        <v>28</v>
      </c>
      <c r="M404" t="s">
        <v>35</v>
      </c>
      <c r="N404" t="s">
        <v>66</v>
      </c>
      <c r="O404">
        <f t="shared" si="6"/>
        <v>19.386995982740665</v>
      </c>
    </row>
    <row r="405" spans="1:15" x14ac:dyDescent="0.3">
      <c r="A405" t="s">
        <v>834</v>
      </c>
      <c r="B405" t="s">
        <v>214</v>
      </c>
      <c r="C405" t="s">
        <v>319</v>
      </c>
      <c r="D405" t="s">
        <v>93</v>
      </c>
      <c r="E405" t="s">
        <v>103</v>
      </c>
      <c r="F405" t="s">
        <v>59</v>
      </c>
      <c r="G405">
        <v>13</v>
      </c>
      <c r="H405">
        <v>45.16</v>
      </c>
      <c r="I405">
        <v>587.08000000000004</v>
      </c>
      <c r="J405">
        <v>29.68</v>
      </c>
      <c r="K405">
        <v>193.4</v>
      </c>
      <c r="L405" t="s">
        <v>28</v>
      </c>
      <c r="M405" t="s">
        <v>29</v>
      </c>
      <c r="N405" t="s">
        <v>66</v>
      </c>
      <c r="O405">
        <f t="shared" si="6"/>
        <v>32.942699461742862</v>
      </c>
    </row>
    <row r="406" spans="1:15" x14ac:dyDescent="0.3">
      <c r="A406" t="s">
        <v>835</v>
      </c>
      <c r="B406" t="s">
        <v>584</v>
      </c>
      <c r="C406" t="s">
        <v>193</v>
      </c>
      <c r="D406" t="s">
        <v>172</v>
      </c>
      <c r="E406" t="s">
        <v>18</v>
      </c>
      <c r="F406" t="s">
        <v>19</v>
      </c>
      <c r="G406">
        <v>40</v>
      </c>
      <c r="H406">
        <v>45.23</v>
      </c>
      <c r="I406">
        <v>1809.2</v>
      </c>
      <c r="J406">
        <v>136.25</v>
      </c>
      <c r="K406">
        <v>272.95</v>
      </c>
      <c r="L406" t="s">
        <v>42</v>
      </c>
      <c r="M406" t="s">
        <v>35</v>
      </c>
      <c r="N406" t="s">
        <v>173</v>
      </c>
      <c r="O406">
        <f t="shared" si="6"/>
        <v>15.086778686712357</v>
      </c>
    </row>
    <row r="407" spans="1:15" x14ac:dyDescent="0.3">
      <c r="A407" t="s">
        <v>836</v>
      </c>
      <c r="B407" t="s">
        <v>596</v>
      </c>
      <c r="C407" t="s">
        <v>377</v>
      </c>
      <c r="D407" t="s">
        <v>93</v>
      </c>
      <c r="E407" t="s">
        <v>27</v>
      </c>
      <c r="F407" t="s">
        <v>19</v>
      </c>
      <c r="G407">
        <v>41</v>
      </c>
      <c r="H407">
        <v>22.78</v>
      </c>
      <c r="I407">
        <v>933.98</v>
      </c>
      <c r="J407">
        <v>38.369999999999997</v>
      </c>
      <c r="K407">
        <v>157.61000000000001</v>
      </c>
      <c r="L407" t="s">
        <v>28</v>
      </c>
      <c r="M407" t="s">
        <v>21</v>
      </c>
      <c r="N407" t="s">
        <v>66</v>
      </c>
      <c r="O407">
        <f t="shared" si="6"/>
        <v>16.875093685089617</v>
      </c>
    </row>
    <row r="408" spans="1:15" x14ac:dyDescent="0.3">
      <c r="A408" t="s">
        <v>837</v>
      </c>
      <c r="B408" t="s">
        <v>838</v>
      </c>
      <c r="C408" t="s">
        <v>131</v>
      </c>
      <c r="D408" t="s">
        <v>137</v>
      </c>
      <c r="E408" t="s">
        <v>69</v>
      </c>
      <c r="F408" t="s">
        <v>59</v>
      </c>
      <c r="G408">
        <v>34</v>
      </c>
      <c r="H408">
        <v>24.21</v>
      </c>
      <c r="I408">
        <v>823.14</v>
      </c>
      <c r="J408">
        <v>58.25</v>
      </c>
      <c r="K408">
        <v>237.89</v>
      </c>
      <c r="L408" t="s">
        <v>20</v>
      </c>
      <c r="M408" t="s">
        <v>21</v>
      </c>
      <c r="N408" t="s">
        <v>30</v>
      </c>
      <c r="O408">
        <f t="shared" si="6"/>
        <v>28.900308574483073</v>
      </c>
    </row>
    <row r="409" spans="1:15" x14ac:dyDescent="0.3">
      <c r="A409" t="s">
        <v>839</v>
      </c>
      <c r="B409" t="s">
        <v>165</v>
      </c>
      <c r="C409" t="s">
        <v>151</v>
      </c>
      <c r="D409" t="s">
        <v>26</v>
      </c>
      <c r="E409" t="s">
        <v>54</v>
      </c>
      <c r="F409" t="s">
        <v>41</v>
      </c>
      <c r="G409">
        <v>46</v>
      </c>
      <c r="H409">
        <v>34.64</v>
      </c>
      <c r="I409">
        <v>1593.44</v>
      </c>
      <c r="J409">
        <v>45.93</v>
      </c>
      <c r="K409">
        <v>627.51</v>
      </c>
      <c r="L409" t="s">
        <v>42</v>
      </c>
      <c r="M409" t="s">
        <v>21</v>
      </c>
      <c r="N409" t="s">
        <v>30</v>
      </c>
      <c r="O409">
        <f t="shared" si="6"/>
        <v>39.380836429360379</v>
      </c>
    </row>
    <row r="410" spans="1:15" x14ac:dyDescent="0.3">
      <c r="A410" t="s">
        <v>840</v>
      </c>
      <c r="B410" t="s">
        <v>841</v>
      </c>
      <c r="C410" t="s">
        <v>193</v>
      </c>
      <c r="D410" t="s">
        <v>47</v>
      </c>
      <c r="E410" t="s">
        <v>54</v>
      </c>
      <c r="F410" t="s">
        <v>41</v>
      </c>
      <c r="G410">
        <v>10</v>
      </c>
      <c r="H410">
        <v>27.06</v>
      </c>
      <c r="I410">
        <v>270.60000000000002</v>
      </c>
      <c r="J410">
        <v>15.35</v>
      </c>
      <c r="K410">
        <v>55.25</v>
      </c>
      <c r="L410" t="s">
        <v>20</v>
      </c>
      <c r="M410" t="s">
        <v>35</v>
      </c>
      <c r="N410" t="s">
        <v>22</v>
      </c>
      <c r="O410">
        <f t="shared" si="6"/>
        <v>20.417590539541759</v>
      </c>
    </row>
    <row r="411" spans="1:15" x14ac:dyDescent="0.3">
      <c r="A411" t="s">
        <v>842</v>
      </c>
      <c r="B411" t="s">
        <v>609</v>
      </c>
      <c r="C411" t="s">
        <v>188</v>
      </c>
      <c r="D411" t="s">
        <v>26</v>
      </c>
      <c r="E411" t="s">
        <v>27</v>
      </c>
      <c r="F411" t="s">
        <v>19</v>
      </c>
      <c r="G411">
        <v>11</v>
      </c>
      <c r="H411">
        <v>27.74</v>
      </c>
      <c r="I411">
        <v>305.14</v>
      </c>
      <c r="J411">
        <v>10.81</v>
      </c>
      <c r="K411">
        <v>96.33</v>
      </c>
      <c r="L411" t="s">
        <v>28</v>
      </c>
      <c r="M411" t="s">
        <v>35</v>
      </c>
      <c r="N411" t="s">
        <v>30</v>
      </c>
      <c r="O411">
        <f t="shared" si="6"/>
        <v>31.569115815691156</v>
      </c>
    </row>
    <row r="412" spans="1:15" x14ac:dyDescent="0.3">
      <c r="A412" t="s">
        <v>843</v>
      </c>
      <c r="B412" t="s">
        <v>844</v>
      </c>
      <c r="C412" t="s">
        <v>123</v>
      </c>
      <c r="D412" t="s">
        <v>47</v>
      </c>
      <c r="E412" t="s">
        <v>103</v>
      </c>
      <c r="F412" t="s">
        <v>59</v>
      </c>
      <c r="G412">
        <v>29</v>
      </c>
      <c r="H412">
        <v>38.08</v>
      </c>
      <c r="I412">
        <v>1104.32</v>
      </c>
      <c r="J412">
        <v>25.63</v>
      </c>
      <c r="K412">
        <v>266.69</v>
      </c>
      <c r="L412" t="s">
        <v>28</v>
      </c>
      <c r="M412" t="s">
        <v>35</v>
      </c>
      <c r="N412" t="s">
        <v>22</v>
      </c>
      <c r="O412">
        <f t="shared" si="6"/>
        <v>24.149702984642136</v>
      </c>
    </row>
    <row r="413" spans="1:15" x14ac:dyDescent="0.3">
      <c r="A413" t="s">
        <v>845</v>
      </c>
      <c r="B413" t="s">
        <v>307</v>
      </c>
      <c r="C413" t="s">
        <v>157</v>
      </c>
      <c r="D413" t="s">
        <v>47</v>
      </c>
      <c r="E413" t="s">
        <v>103</v>
      </c>
      <c r="F413" t="s">
        <v>59</v>
      </c>
      <c r="G413">
        <v>18</v>
      </c>
      <c r="H413">
        <v>43.65</v>
      </c>
      <c r="I413">
        <v>785.7</v>
      </c>
      <c r="J413">
        <v>54.52</v>
      </c>
      <c r="K413">
        <v>227.18</v>
      </c>
      <c r="L413" t="s">
        <v>28</v>
      </c>
      <c r="M413" t="s">
        <v>21</v>
      </c>
      <c r="N413" t="s">
        <v>22</v>
      </c>
      <c r="O413">
        <f t="shared" si="6"/>
        <v>28.914343897161764</v>
      </c>
    </row>
    <row r="414" spans="1:15" x14ac:dyDescent="0.3">
      <c r="A414" t="s">
        <v>846</v>
      </c>
      <c r="B414" t="s">
        <v>455</v>
      </c>
      <c r="C414" t="s">
        <v>526</v>
      </c>
      <c r="D414" t="s">
        <v>137</v>
      </c>
      <c r="E414" t="s">
        <v>18</v>
      </c>
      <c r="F414" t="s">
        <v>19</v>
      </c>
      <c r="G414">
        <v>49</v>
      </c>
      <c r="H414">
        <v>51.97</v>
      </c>
      <c r="I414">
        <v>2546.5300000000002</v>
      </c>
      <c r="J414">
        <v>112.26</v>
      </c>
      <c r="K414">
        <v>719.27</v>
      </c>
      <c r="L414" t="s">
        <v>28</v>
      </c>
      <c r="M414" t="s">
        <v>29</v>
      </c>
      <c r="N414" t="s">
        <v>30</v>
      </c>
      <c r="O414">
        <f t="shared" si="6"/>
        <v>28.245102158623691</v>
      </c>
    </row>
    <row r="415" spans="1:15" x14ac:dyDescent="0.3">
      <c r="A415" t="s">
        <v>847</v>
      </c>
      <c r="B415" t="s">
        <v>721</v>
      </c>
      <c r="C415" t="s">
        <v>163</v>
      </c>
      <c r="D415" t="s">
        <v>82</v>
      </c>
      <c r="E415" t="s">
        <v>64</v>
      </c>
      <c r="F415" t="s">
        <v>65</v>
      </c>
      <c r="G415">
        <v>13</v>
      </c>
      <c r="H415">
        <v>36.85</v>
      </c>
      <c r="I415">
        <v>479.05</v>
      </c>
      <c r="J415">
        <v>10.15</v>
      </c>
      <c r="K415">
        <v>143.9</v>
      </c>
      <c r="L415" t="s">
        <v>20</v>
      </c>
      <c r="M415" t="s">
        <v>35</v>
      </c>
      <c r="N415" t="s">
        <v>66</v>
      </c>
      <c r="O415">
        <f t="shared" si="6"/>
        <v>30.038618098319592</v>
      </c>
    </row>
    <row r="416" spans="1:15" x14ac:dyDescent="0.3">
      <c r="A416" t="s">
        <v>848</v>
      </c>
      <c r="B416" t="s">
        <v>849</v>
      </c>
      <c r="C416" t="s">
        <v>88</v>
      </c>
      <c r="D416" t="s">
        <v>47</v>
      </c>
      <c r="E416" t="s">
        <v>40</v>
      </c>
      <c r="F416" t="s">
        <v>41</v>
      </c>
      <c r="G416">
        <v>33</v>
      </c>
      <c r="H416">
        <v>38.520000000000003</v>
      </c>
      <c r="I416">
        <v>1271.1600000000001</v>
      </c>
      <c r="J416">
        <v>81.459999999999994</v>
      </c>
      <c r="K416">
        <v>133.69999999999999</v>
      </c>
      <c r="L416" t="s">
        <v>20</v>
      </c>
      <c r="M416" t="s">
        <v>21</v>
      </c>
      <c r="N416" t="s">
        <v>22</v>
      </c>
      <c r="O416">
        <f t="shared" si="6"/>
        <v>10.517952106737152</v>
      </c>
    </row>
    <row r="417" spans="1:15" x14ac:dyDescent="0.3">
      <c r="A417" t="s">
        <v>850</v>
      </c>
      <c r="B417" t="s">
        <v>135</v>
      </c>
      <c r="C417" t="s">
        <v>348</v>
      </c>
      <c r="D417" t="s">
        <v>63</v>
      </c>
      <c r="E417" t="s">
        <v>69</v>
      </c>
      <c r="F417" t="s">
        <v>59</v>
      </c>
      <c r="G417">
        <v>41</v>
      </c>
      <c r="H417">
        <v>26.98</v>
      </c>
      <c r="I417">
        <v>1106.18</v>
      </c>
      <c r="J417">
        <v>51.77</v>
      </c>
      <c r="K417">
        <v>418.91</v>
      </c>
      <c r="L417" t="s">
        <v>42</v>
      </c>
      <c r="M417" t="s">
        <v>29</v>
      </c>
      <c r="N417" t="s">
        <v>66</v>
      </c>
      <c r="O417">
        <f t="shared" si="6"/>
        <v>37.86996691316061</v>
      </c>
    </row>
    <row r="418" spans="1:15" x14ac:dyDescent="0.3">
      <c r="A418" t="s">
        <v>851</v>
      </c>
      <c r="B418" t="s">
        <v>600</v>
      </c>
      <c r="C418" t="s">
        <v>123</v>
      </c>
      <c r="D418" t="s">
        <v>137</v>
      </c>
      <c r="E418" t="s">
        <v>69</v>
      </c>
      <c r="F418" t="s">
        <v>59</v>
      </c>
      <c r="G418">
        <v>4</v>
      </c>
      <c r="H418">
        <v>23.56</v>
      </c>
      <c r="I418">
        <v>94.24</v>
      </c>
      <c r="J418">
        <v>7.03</v>
      </c>
      <c r="K418">
        <v>25.21</v>
      </c>
      <c r="L418" t="s">
        <v>42</v>
      </c>
      <c r="M418" t="s">
        <v>35</v>
      </c>
      <c r="N418" t="s">
        <v>30</v>
      </c>
      <c r="O418">
        <f t="shared" si="6"/>
        <v>26.750848896434636</v>
      </c>
    </row>
    <row r="419" spans="1:15" x14ac:dyDescent="0.3">
      <c r="A419" t="s">
        <v>852</v>
      </c>
      <c r="B419" t="s">
        <v>666</v>
      </c>
      <c r="C419" t="s">
        <v>438</v>
      </c>
      <c r="D419" t="s">
        <v>249</v>
      </c>
      <c r="E419" t="s">
        <v>40</v>
      </c>
      <c r="F419" t="s">
        <v>41</v>
      </c>
      <c r="G419">
        <v>17</v>
      </c>
      <c r="H419">
        <v>57.14</v>
      </c>
      <c r="I419">
        <v>971.38</v>
      </c>
      <c r="J419">
        <v>70.010000000000005</v>
      </c>
      <c r="K419">
        <v>357.37</v>
      </c>
      <c r="L419" t="s">
        <v>42</v>
      </c>
      <c r="M419" t="s">
        <v>29</v>
      </c>
      <c r="N419" t="s">
        <v>66</v>
      </c>
      <c r="O419">
        <f t="shared" si="6"/>
        <v>36.789927731680706</v>
      </c>
    </row>
    <row r="420" spans="1:15" x14ac:dyDescent="0.3">
      <c r="A420" t="s">
        <v>853</v>
      </c>
      <c r="B420" t="s">
        <v>854</v>
      </c>
      <c r="C420" t="s">
        <v>148</v>
      </c>
      <c r="D420" t="s">
        <v>172</v>
      </c>
      <c r="E420" t="s">
        <v>64</v>
      </c>
      <c r="F420" t="s">
        <v>65</v>
      </c>
      <c r="G420">
        <v>44</v>
      </c>
      <c r="H420">
        <v>38.14</v>
      </c>
      <c r="I420">
        <v>1678.16</v>
      </c>
      <c r="J420">
        <v>124.49</v>
      </c>
      <c r="K420">
        <v>453.67</v>
      </c>
      <c r="L420" t="s">
        <v>42</v>
      </c>
      <c r="M420" t="s">
        <v>21</v>
      </c>
      <c r="N420" t="s">
        <v>173</v>
      </c>
      <c r="O420">
        <f t="shared" si="6"/>
        <v>27.033775087000045</v>
      </c>
    </row>
    <row r="421" spans="1:15" x14ac:dyDescent="0.3">
      <c r="A421" t="s">
        <v>855</v>
      </c>
      <c r="B421" t="s">
        <v>693</v>
      </c>
      <c r="C421" t="s">
        <v>131</v>
      </c>
      <c r="D421" t="s">
        <v>107</v>
      </c>
      <c r="E421" t="s">
        <v>27</v>
      </c>
      <c r="F421" t="s">
        <v>19</v>
      </c>
      <c r="G421">
        <v>14</v>
      </c>
      <c r="H421">
        <v>24</v>
      </c>
      <c r="I421">
        <v>336</v>
      </c>
      <c r="J421">
        <v>22.88</v>
      </c>
      <c r="K421">
        <v>61.12</v>
      </c>
      <c r="L421" t="s">
        <v>28</v>
      </c>
      <c r="M421" t="s">
        <v>29</v>
      </c>
      <c r="N421" t="s">
        <v>108</v>
      </c>
      <c r="O421">
        <f t="shared" si="6"/>
        <v>18.19047619047619</v>
      </c>
    </row>
    <row r="422" spans="1:15" x14ac:dyDescent="0.3">
      <c r="A422" t="s">
        <v>856</v>
      </c>
      <c r="B422" t="s">
        <v>857</v>
      </c>
      <c r="C422" t="s">
        <v>92</v>
      </c>
      <c r="D422" t="s">
        <v>63</v>
      </c>
      <c r="E422" t="s">
        <v>69</v>
      </c>
      <c r="F422" t="s">
        <v>59</v>
      </c>
      <c r="G422">
        <v>50</v>
      </c>
      <c r="H422">
        <v>26.91</v>
      </c>
      <c r="I422">
        <v>1345.5</v>
      </c>
      <c r="J422">
        <v>91.7</v>
      </c>
      <c r="K422">
        <v>478.8</v>
      </c>
      <c r="L422" t="s">
        <v>42</v>
      </c>
      <c r="M422" t="s">
        <v>21</v>
      </c>
      <c r="N422" t="s">
        <v>66</v>
      </c>
      <c r="O422">
        <f t="shared" si="6"/>
        <v>35.585284280936456</v>
      </c>
    </row>
    <row r="423" spans="1:15" x14ac:dyDescent="0.3">
      <c r="A423" t="s">
        <v>858</v>
      </c>
      <c r="B423" t="s">
        <v>859</v>
      </c>
      <c r="C423" t="s">
        <v>422</v>
      </c>
      <c r="D423" t="s">
        <v>34</v>
      </c>
      <c r="E423" t="s">
        <v>48</v>
      </c>
      <c r="F423" t="s">
        <v>49</v>
      </c>
      <c r="G423">
        <v>7</v>
      </c>
      <c r="H423">
        <v>59.41</v>
      </c>
      <c r="I423">
        <v>415.87</v>
      </c>
      <c r="J423">
        <v>25.51</v>
      </c>
      <c r="K423">
        <v>110.36</v>
      </c>
      <c r="L423" t="s">
        <v>20</v>
      </c>
      <c r="M423" t="s">
        <v>35</v>
      </c>
      <c r="N423" t="s">
        <v>30</v>
      </c>
      <c r="O423">
        <f t="shared" si="6"/>
        <v>26.537139009786713</v>
      </c>
    </row>
    <row r="424" spans="1:15" x14ac:dyDescent="0.3">
      <c r="A424" t="s">
        <v>860</v>
      </c>
      <c r="B424" t="s">
        <v>383</v>
      </c>
      <c r="C424" t="s">
        <v>363</v>
      </c>
      <c r="D424" t="s">
        <v>93</v>
      </c>
      <c r="E424" t="s">
        <v>64</v>
      </c>
      <c r="F424" t="s">
        <v>65</v>
      </c>
      <c r="G424">
        <v>48</v>
      </c>
      <c r="H424">
        <v>37.31</v>
      </c>
      <c r="I424">
        <v>1790.88</v>
      </c>
      <c r="J424">
        <v>67.45</v>
      </c>
      <c r="K424">
        <v>523.42999999999995</v>
      </c>
      <c r="L424" t="s">
        <v>20</v>
      </c>
      <c r="M424" t="s">
        <v>29</v>
      </c>
      <c r="N424" t="s">
        <v>66</v>
      </c>
      <c r="O424">
        <f t="shared" si="6"/>
        <v>29.227530599481817</v>
      </c>
    </row>
    <row r="425" spans="1:15" x14ac:dyDescent="0.3">
      <c r="A425" t="s">
        <v>861</v>
      </c>
      <c r="B425" t="s">
        <v>99</v>
      </c>
      <c r="C425" t="s">
        <v>252</v>
      </c>
      <c r="D425" t="s">
        <v>89</v>
      </c>
      <c r="E425" t="s">
        <v>48</v>
      </c>
      <c r="F425" t="s">
        <v>49</v>
      </c>
      <c r="G425">
        <v>38</v>
      </c>
      <c r="H425">
        <v>52.91</v>
      </c>
      <c r="I425">
        <v>2010.58</v>
      </c>
      <c r="J425">
        <v>94.22</v>
      </c>
      <c r="K425">
        <v>396.36</v>
      </c>
      <c r="L425" t="s">
        <v>20</v>
      </c>
      <c r="M425" t="s">
        <v>21</v>
      </c>
      <c r="N425" t="s">
        <v>66</v>
      </c>
      <c r="O425">
        <f t="shared" si="6"/>
        <v>19.713714450556559</v>
      </c>
    </row>
    <row r="426" spans="1:15" x14ac:dyDescent="0.3">
      <c r="A426" t="s">
        <v>862</v>
      </c>
      <c r="B426" t="s">
        <v>863</v>
      </c>
      <c r="C426" t="s">
        <v>79</v>
      </c>
      <c r="D426" t="s">
        <v>26</v>
      </c>
      <c r="E426" t="s">
        <v>27</v>
      </c>
      <c r="F426" t="s">
        <v>19</v>
      </c>
      <c r="G426">
        <v>14</v>
      </c>
      <c r="H426">
        <v>27.09</v>
      </c>
      <c r="I426">
        <v>379.26</v>
      </c>
      <c r="J426">
        <v>14.42</v>
      </c>
      <c r="K426">
        <v>112.84</v>
      </c>
      <c r="L426" t="s">
        <v>42</v>
      </c>
      <c r="M426" t="s">
        <v>35</v>
      </c>
      <c r="N426" t="s">
        <v>30</v>
      </c>
      <c r="O426">
        <f t="shared" si="6"/>
        <v>29.752676264304174</v>
      </c>
    </row>
    <row r="427" spans="1:15" x14ac:dyDescent="0.3">
      <c r="A427" t="s">
        <v>864</v>
      </c>
      <c r="B427" t="s">
        <v>84</v>
      </c>
      <c r="C427" t="s">
        <v>148</v>
      </c>
      <c r="D427" t="s">
        <v>93</v>
      </c>
      <c r="E427" t="s">
        <v>58</v>
      </c>
      <c r="F427" t="s">
        <v>59</v>
      </c>
      <c r="G427">
        <v>41</v>
      </c>
      <c r="H427">
        <v>30.52</v>
      </c>
      <c r="I427">
        <v>1251.32</v>
      </c>
      <c r="J427">
        <v>56.88</v>
      </c>
      <c r="K427">
        <v>271.94</v>
      </c>
      <c r="L427" t="s">
        <v>20</v>
      </c>
      <c r="M427" t="s">
        <v>35</v>
      </c>
      <c r="N427" t="s">
        <v>66</v>
      </c>
      <c r="O427">
        <f t="shared" si="6"/>
        <v>21.732250743215165</v>
      </c>
    </row>
    <row r="428" spans="1:15" x14ac:dyDescent="0.3">
      <c r="A428" t="s">
        <v>865</v>
      </c>
      <c r="B428" t="s">
        <v>866</v>
      </c>
      <c r="C428" t="s">
        <v>336</v>
      </c>
      <c r="D428" t="s">
        <v>47</v>
      </c>
      <c r="E428" t="s">
        <v>103</v>
      </c>
      <c r="F428" t="s">
        <v>59</v>
      </c>
      <c r="G428">
        <v>23</v>
      </c>
      <c r="H428">
        <v>40.94</v>
      </c>
      <c r="I428">
        <v>941.62</v>
      </c>
      <c r="J428">
        <v>71.66</v>
      </c>
      <c r="K428">
        <v>225.96</v>
      </c>
      <c r="L428" t="s">
        <v>28</v>
      </c>
      <c r="M428" t="s">
        <v>35</v>
      </c>
      <c r="N428" t="s">
        <v>22</v>
      </c>
      <c r="O428">
        <f t="shared" si="6"/>
        <v>23.996941441345768</v>
      </c>
    </row>
    <row r="429" spans="1:15" x14ac:dyDescent="0.3">
      <c r="A429" t="s">
        <v>867</v>
      </c>
      <c r="B429" t="s">
        <v>579</v>
      </c>
      <c r="C429" t="s">
        <v>438</v>
      </c>
      <c r="D429" t="s">
        <v>207</v>
      </c>
      <c r="E429" t="s">
        <v>103</v>
      </c>
      <c r="F429" t="s">
        <v>59</v>
      </c>
      <c r="G429">
        <v>34</v>
      </c>
      <c r="H429">
        <v>41.77</v>
      </c>
      <c r="I429">
        <v>1420.18</v>
      </c>
      <c r="J429">
        <v>112.45</v>
      </c>
      <c r="K429">
        <v>355.73</v>
      </c>
      <c r="L429" t="s">
        <v>28</v>
      </c>
      <c r="M429" t="s">
        <v>35</v>
      </c>
      <c r="N429" t="s">
        <v>30</v>
      </c>
      <c r="O429">
        <f t="shared" si="6"/>
        <v>25.048233322536579</v>
      </c>
    </row>
    <row r="430" spans="1:15" x14ac:dyDescent="0.3">
      <c r="A430" t="s">
        <v>868</v>
      </c>
      <c r="B430" t="s">
        <v>869</v>
      </c>
      <c r="C430" t="s">
        <v>131</v>
      </c>
      <c r="D430" t="s">
        <v>249</v>
      </c>
      <c r="E430" t="s">
        <v>48</v>
      </c>
      <c r="F430" t="s">
        <v>49</v>
      </c>
      <c r="G430">
        <v>32</v>
      </c>
      <c r="H430">
        <v>69.98</v>
      </c>
      <c r="I430">
        <v>2239.36</v>
      </c>
      <c r="J430">
        <v>133.51</v>
      </c>
      <c r="K430">
        <v>825.85</v>
      </c>
      <c r="L430" t="s">
        <v>42</v>
      </c>
      <c r="M430" t="s">
        <v>21</v>
      </c>
      <c r="N430" t="s">
        <v>66</v>
      </c>
      <c r="O430">
        <f t="shared" si="6"/>
        <v>36.878840382966558</v>
      </c>
    </row>
    <row r="431" spans="1:15" x14ac:dyDescent="0.3">
      <c r="A431" t="s">
        <v>870</v>
      </c>
      <c r="B431" t="s">
        <v>777</v>
      </c>
      <c r="C431" t="s">
        <v>232</v>
      </c>
      <c r="D431" t="s">
        <v>26</v>
      </c>
      <c r="E431" t="s">
        <v>18</v>
      </c>
      <c r="F431" t="s">
        <v>19</v>
      </c>
      <c r="G431">
        <v>25</v>
      </c>
      <c r="H431">
        <v>42.91</v>
      </c>
      <c r="I431">
        <v>1072.75</v>
      </c>
      <c r="J431">
        <v>80.02</v>
      </c>
      <c r="K431">
        <v>117.73</v>
      </c>
      <c r="L431" t="s">
        <v>28</v>
      </c>
      <c r="M431" t="s">
        <v>29</v>
      </c>
      <c r="N431" t="s">
        <v>30</v>
      </c>
      <c r="O431">
        <f t="shared" si="6"/>
        <v>10.974597995805174</v>
      </c>
    </row>
    <row r="432" spans="1:15" x14ac:dyDescent="0.3">
      <c r="A432" t="s">
        <v>871</v>
      </c>
      <c r="B432" t="s">
        <v>494</v>
      </c>
      <c r="C432" t="s">
        <v>610</v>
      </c>
      <c r="D432" t="s">
        <v>47</v>
      </c>
      <c r="E432" t="s">
        <v>73</v>
      </c>
      <c r="F432" t="s">
        <v>41</v>
      </c>
      <c r="G432">
        <v>7</v>
      </c>
      <c r="H432">
        <v>22.6</v>
      </c>
      <c r="I432">
        <v>158.19999999999999</v>
      </c>
      <c r="J432">
        <v>7.04</v>
      </c>
      <c r="K432">
        <v>61.91</v>
      </c>
      <c r="L432" t="s">
        <v>42</v>
      </c>
      <c r="M432" t="s">
        <v>21</v>
      </c>
      <c r="N432" t="s">
        <v>22</v>
      </c>
      <c r="O432">
        <f t="shared" si="6"/>
        <v>39.13400758533502</v>
      </c>
    </row>
    <row r="433" spans="1:15" x14ac:dyDescent="0.3">
      <c r="A433" t="s">
        <v>872</v>
      </c>
      <c r="B433" t="s">
        <v>873</v>
      </c>
      <c r="C433" t="s">
        <v>111</v>
      </c>
      <c r="D433" t="s">
        <v>17</v>
      </c>
      <c r="E433" t="s">
        <v>73</v>
      </c>
      <c r="F433" t="s">
        <v>41</v>
      </c>
      <c r="G433">
        <v>48</v>
      </c>
      <c r="H433">
        <v>19.5</v>
      </c>
      <c r="I433">
        <v>936</v>
      </c>
      <c r="J433">
        <v>70.069999999999993</v>
      </c>
      <c r="K433">
        <v>253.93</v>
      </c>
      <c r="L433" t="s">
        <v>20</v>
      </c>
      <c r="M433" t="s">
        <v>29</v>
      </c>
      <c r="N433" t="s">
        <v>22</v>
      </c>
      <c r="O433">
        <f t="shared" si="6"/>
        <v>27.129273504273506</v>
      </c>
    </row>
    <row r="434" spans="1:15" x14ac:dyDescent="0.3">
      <c r="A434" t="s">
        <v>874</v>
      </c>
      <c r="B434" t="s">
        <v>318</v>
      </c>
      <c r="C434" t="s">
        <v>33</v>
      </c>
      <c r="D434" t="s">
        <v>172</v>
      </c>
      <c r="E434" t="s">
        <v>48</v>
      </c>
      <c r="F434" t="s">
        <v>49</v>
      </c>
      <c r="G434">
        <v>32</v>
      </c>
      <c r="H434">
        <v>49.97</v>
      </c>
      <c r="I434">
        <v>1599.04</v>
      </c>
      <c r="J434">
        <v>43.1</v>
      </c>
      <c r="K434">
        <v>275.94</v>
      </c>
      <c r="L434" t="s">
        <v>28</v>
      </c>
      <c r="M434" t="s">
        <v>35</v>
      </c>
      <c r="N434" t="s">
        <v>173</v>
      </c>
      <c r="O434">
        <f t="shared" si="6"/>
        <v>17.256603962377426</v>
      </c>
    </row>
    <row r="435" spans="1:15" x14ac:dyDescent="0.3">
      <c r="A435" t="s">
        <v>875</v>
      </c>
      <c r="B435" t="s">
        <v>353</v>
      </c>
      <c r="C435" t="s">
        <v>16</v>
      </c>
      <c r="D435" t="s">
        <v>137</v>
      </c>
      <c r="E435" t="s">
        <v>69</v>
      </c>
      <c r="F435" t="s">
        <v>59</v>
      </c>
      <c r="G435">
        <v>41</v>
      </c>
      <c r="H435">
        <v>25.62</v>
      </c>
      <c r="I435">
        <v>1050.42</v>
      </c>
      <c r="J435">
        <v>79.2</v>
      </c>
      <c r="K435">
        <v>335.72</v>
      </c>
      <c r="L435" t="s">
        <v>20</v>
      </c>
      <c r="M435" t="s">
        <v>29</v>
      </c>
      <c r="N435" t="s">
        <v>30</v>
      </c>
      <c r="O435">
        <f t="shared" si="6"/>
        <v>31.960549113687858</v>
      </c>
    </row>
    <row r="436" spans="1:15" x14ac:dyDescent="0.3">
      <c r="A436" t="s">
        <v>876</v>
      </c>
      <c r="B436" t="s">
        <v>810</v>
      </c>
      <c r="C436" t="s">
        <v>432</v>
      </c>
      <c r="D436" t="s">
        <v>17</v>
      </c>
      <c r="E436" t="s">
        <v>73</v>
      </c>
      <c r="F436" t="s">
        <v>41</v>
      </c>
      <c r="G436">
        <v>46</v>
      </c>
      <c r="H436">
        <v>16.78</v>
      </c>
      <c r="I436">
        <v>771.88</v>
      </c>
      <c r="J436">
        <v>18.04</v>
      </c>
      <c r="K436">
        <v>167.34</v>
      </c>
      <c r="L436" t="s">
        <v>42</v>
      </c>
      <c r="M436" t="s">
        <v>35</v>
      </c>
      <c r="N436" t="s">
        <v>22</v>
      </c>
      <c r="O436">
        <f t="shared" si="6"/>
        <v>21.679535679121106</v>
      </c>
    </row>
    <row r="437" spans="1:15" x14ac:dyDescent="0.3">
      <c r="A437" t="s">
        <v>877</v>
      </c>
      <c r="B437" t="s">
        <v>878</v>
      </c>
      <c r="C437" t="s">
        <v>472</v>
      </c>
      <c r="D437" t="s">
        <v>34</v>
      </c>
      <c r="E437" t="s">
        <v>40</v>
      </c>
      <c r="F437" t="s">
        <v>41</v>
      </c>
      <c r="G437">
        <v>16</v>
      </c>
      <c r="H437">
        <v>42.18</v>
      </c>
      <c r="I437">
        <v>674.88</v>
      </c>
      <c r="J437">
        <v>19.100000000000001</v>
      </c>
      <c r="K437">
        <v>143.78</v>
      </c>
      <c r="L437" t="s">
        <v>20</v>
      </c>
      <c r="M437" t="s">
        <v>35</v>
      </c>
      <c r="N437" t="s">
        <v>30</v>
      </c>
      <c r="O437">
        <f t="shared" si="6"/>
        <v>21.304528212422948</v>
      </c>
    </row>
    <row r="438" spans="1:15" x14ac:dyDescent="0.3">
      <c r="A438" t="s">
        <v>879</v>
      </c>
      <c r="B438" t="s">
        <v>242</v>
      </c>
      <c r="C438" t="s">
        <v>79</v>
      </c>
      <c r="D438" t="s">
        <v>137</v>
      </c>
      <c r="E438" t="s">
        <v>64</v>
      </c>
      <c r="F438" t="s">
        <v>65</v>
      </c>
      <c r="G438">
        <v>12</v>
      </c>
      <c r="H438">
        <v>34.97</v>
      </c>
      <c r="I438">
        <v>419.64</v>
      </c>
      <c r="J438">
        <v>28.48</v>
      </c>
      <c r="K438">
        <v>91.16</v>
      </c>
      <c r="L438" t="s">
        <v>20</v>
      </c>
      <c r="M438" t="s">
        <v>21</v>
      </c>
      <c r="N438" t="s">
        <v>30</v>
      </c>
      <c r="O438">
        <f t="shared" si="6"/>
        <v>21.723381946430273</v>
      </c>
    </row>
    <row r="439" spans="1:15" x14ac:dyDescent="0.3">
      <c r="A439" t="s">
        <v>880</v>
      </c>
      <c r="B439" t="s">
        <v>184</v>
      </c>
      <c r="C439" t="s">
        <v>185</v>
      </c>
      <c r="D439" t="s">
        <v>39</v>
      </c>
      <c r="E439" t="s">
        <v>54</v>
      </c>
      <c r="F439" t="s">
        <v>41</v>
      </c>
      <c r="G439">
        <v>31</v>
      </c>
      <c r="H439">
        <v>33.619999999999997</v>
      </c>
      <c r="I439">
        <v>1042.22</v>
      </c>
      <c r="J439">
        <v>26.33</v>
      </c>
      <c r="K439">
        <v>395.89</v>
      </c>
      <c r="L439" t="s">
        <v>42</v>
      </c>
      <c r="M439" t="s">
        <v>35</v>
      </c>
      <c r="N439" t="s">
        <v>43</v>
      </c>
      <c r="O439">
        <f t="shared" si="6"/>
        <v>37.985262228704109</v>
      </c>
    </row>
    <row r="440" spans="1:15" x14ac:dyDescent="0.3">
      <c r="A440" t="s">
        <v>881</v>
      </c>
      <c r="B440" t="s">
        <v>273</v>
      </c>
      <c r="C440" t="s">
        <v>633</v>
      </c>
      <c r="D440" t="s">
        <v>89</v>
      </c>
      <c r="E440" t="s">
        <v>58</v>
      </c>
      <c r="F440" t="s">
        <v>59</v>
      </c>
      <c r="G440">
        <v>40</v>
      </c>
      <c r="H440">
        <v>30.56</v>
      </c>
      <c r="I440">
        <v>1222.4000000000001</v>
      </c>
      <c r="J440">
        <v>26.42</v>
      </c>
      <c r="K440">
        <v>295.98</v>
      </c>
      <c r="L440" t="s">
        <v>20</v>
      </c>
      <c r="M440" t="s">
        <v>21</v>
      </c>
      <c r="N440" t="s">
        <v>66</v>
      </c>
      <c r="O440">
        <f t="shared" si="6"/>
        <v>24.213023560209422</v>
      </c>
    </row>
    <row r="441" spans="1:15" x14ac:dyDescent="0.3">
      <c r="A441" t="s">
        <v>882</v>
      </c>
      <c r="B441" t="s">
        <v>883</v>
      </c>
      <c r="C441" t="s">
        <v>193</v>
      </c>
      <c r="D441" t="s">
        <v>207</v>
      </c>
      <c r="E441" t="s">
        <v>18</v>
      </c>
      <c r="F441" t="s">
        <v>19</v>
      </c>
      <c r="G441">
        <v>15</v>
      </c>
      <c r="H441">
        <v>61.93</v>
      </c>
      <c r="I441">
        <v>928.95</v>
      </c>
      <c r="J441">
        <v>25.68</v>
      </c>
      <c r="K441">
        <v>378.27</v>
      </c>
      <c r="L441" t="s">
        <v>28</v>
      </c>
      <c r="M441" t="s">
        <v>35</v>
      </c>
      <c r="N441" t="s">
        <v>30</v>
      </c>
      <c r="O441">
        <f t="shared" si="6"/>
        <v>40.720167931535599</v>
      </c>
    </row>
    <row r="442" spans="1:15" x14ac:dyDescent="0.3">
      <c r="A442" t="s">
        <v>884</v>
      </c>
      <c r="B442" t="s">
        <v>885</v>
      </c>
      <c r="C442" t="s">
        <v>160</v>
      </c>
      <c r="D442" t="s">
        <v>63</v>
      </c>
      <c r="E442" t="s">
        <v>54</v>
      </c>
      <c r="F442" t="s">
        <v>41</v>
      </c>
      <c r="G442">
        <v>20</v>
      </c>
      <c r="H442">
        <v>35.770000000000003</v>
      </c>
      <c r="I442">
        <v>715.4</v>
      </c>
      <c r="J442">
        <v>39.229999999999997</v>
      </c>
      <c r="K442">
        <v>276.17</v>
      </c>
      <c r="L442" t="s">
        <v>20</v>
      </c>
      <c r="M442" t="s">
        <v>21</v>
      </c>
      <c r="N442" t="s">
        <v>66</v>
      </c>
      <c r="O442">
        <f t="shared" si="6"/>
        <v>38.603578417668437</v>
      </c>
    </row>
    <row r="443" spans="1:15" x14ac:dyDescent="0.3">
      <c r="A443" t="s">
        <v>886</v>
      </c>
      <c r="B443" t="s">
        <v>827</v>
      </c>
      <c r="C443" t="s">
        <v>358</v>
      </c>
      <c r="D443" t="s">
        <v>26</v>
      </c>
      <c r="E443" t="s">
        <v>73</v>
      </c>
      <c r="F443" t="s">
        <v>41</v>
      </c>
      <c r="G443">
        <v>21</v>
      </c>
      <c r="H443">
        <v>22.48</v>
      </c>
      <c r="I443">
        <v>472.08</v>
      </c>
      <c r="J443">
        <v>12.96</v>
      </c>
      <c r="K443">
        <v>191.37</v>
      </c>
      <c r="L443" t="s">
        <v>28</v>
      </c>
      <c r="M443" t="s">
        <v>21</v>
      </c>
      <c r="N443" t="s">
        <v>30</v>
      </c>
      <c r="O443">
        <f t="shared" si="6"/>
        <v>40.537620742247078</v>
      </c>
    </row>
    <row r="444" spans="1:15" x14ac:dyDescent="0.3">
      <c r="A444" t="s">
        <v>887</v>
      </c>
      <c r="B444" t="s">
        <v>888</v>
      </c>
      <c r="C444" t="s">
        <v>404</v>
      </c>
      <c r="D444" t="s">
        <v>63</v>
      </c>
      <c r="E444" t="s">
        <v>27</v>
      </c>
      <c r="F444" t="s">
        <v>19</v>
      </c>
      <c r="G444">
        <v>8</v>
      </c>
      <c r="H444">
        <v>27.53</v>
      </c>
      <c r="I444">
        <v>220.24</v>
      </c>
      <c r="J444">
        <v>12.66</v>
      </c>
      <c r="K444">
        <v>63.58</v>
      </c>
      <c r="L444" t="s">
        <v>28</v>
      </c>
      <c r="M444" t="s">
        <v>29</v>
      </c>
      <c r="N444" t="s">
        <v>66</v>
      </c>
      <c r="O444">
        <f t="shared" si="6"/>
        <v>28.868507083181981</v>
      </c>
    </row>
    <row r="445" spans="1:15" x14ac:dyDescent="0.3">
      <c r="A445" t="s">
        <v>889</v>
      </c>
      <c r="B445" t="s">
        <v>267</v>
      </c>
      <c r="C445" t="s">
        <v>327</v>
      </c>
      <c r="D445" t="s">
        <v>249</v>
      </c>
      <c r="E445" t="s">
        <v>58</v>
      </c>
      <c r="F445" t="s">
        <v>59</v>
      </c>
      <c r="G445">
        <v>35</v>
      </c>
      <c r="H445">
        <v>39.65</v>
      </c>
      <c r="I445">
        <v>1387.75</v>
      </c>
      <c r="J445">
        <v>60.95</v>
      </c>
      <c r="K445">
        <v>539.29999999999995</v>
      </c>
      <c r="L445" t="s">
        <v>42</v>
      </c>
      <c r="M445" t="s">
        <v>29</v>
      </c>
      <c r="N445" t="s">
        <v>66</v>
      </c>
      <c r="O445">
        <f t="shared" si="6"/>
        <v>38.861466402450006</v>
      </c>
    </row>
    <row r="446" spans="1:15" x14ac:dyDescent="0.3">
      <c r="A446" t="s">
        <v>890</v>
      </c>
      <c r="B446" t="s">
        <v>891</v>
      </c>
      <c r="C446" t="s">
        <v>255</v>
      </c>
      <c r="D446" t="s">
        <v>107</v>
      </c>
      <c r="E446" t="s">
        <v>69</v>
      </c>
      <c r="F446" t="s">
        <v>59</v>
      </c>
      <c r="G446">
        <v>50</v>
      </c>
      <c r="H446">
        <v>23.68</v>
      </c>
      <c r="I446">
        <v>1184</v>
      </c>
      <c r="J446">
        <v>46.62</v>
      </c>
      <c r="K446">
        <v>362.38</v>
      </c>
      <c r="L446" t="s">
        <v>28</v>
      </c>
      <c r="M446" t="s">
        <v>29</v>
      </c>
      <c r="N446" t="s">
        <v>108</v>
      </c>
      <c r="O446">
        <f t="shared" si="6"/>
        <v>30.606418918918919</v>
      </c>
    </row>
    <row r="447" spans="1:15" x14ac:dyDescent="0.3">
      <c r="A447" t="s">
        <v>892</v>
      </c>
      <c r="B447" t="s">
        <v>670</v>
      </c>
      <c r="C447" t="s">
        <v>257</v>
      </c>
      <c r="D447" t="s">
        <v>89</v>
      </c>
      <c r="E447" t="s">
        <v>73</v>
      </c>
      <c r="F447" t="s">
        <v>41</v>
      </c>
      <c r="G447">
        <v>5</v>
      </c>
      <c r="H447">
        <v>19.809999999999999</v>
      </c>
      <c r="I447">
        <v>99.05</v>
      </c>
      <c r="J447">
        <v>5.91</v>
      </c>
      <c r="K447">
        <v>29.39</v>
      </c>
      <c r="L447" t="s">
        <v>28</v>
      </c>
      <c r="M447" t="s">
        <v>35</v>
      </c>
      <c r="N447" t="s">
        <v>66</v>
      </c>
      <c r="O447">
        <f t="shared" si="6"/>
        <v>29.671882887430591</v>
      </c>
    </row>
    <row r="448" spans="1:15" x14ac:dyDescent="0.3">
      <c r="A448" t="s">
        <v>893</v>
      </c>
      <c r="B448" t="s">
        <v>209</v>
      </c>
      <c r="C448" t="s">
        <v>92</v>
      </c>
      <c r="D448" t="s">
        <v>39</v>
      </c>
      <c r="E448" t="s">
        <v>73</v>
      </c>
      <c r="F448" t="s">
        <v>41</v>
      </c>
      <c r="G448">
        <v>27</v>
      </c>
      <c r="H448">
        <v>18.03</v>
      </c>
      <c r="I448">
        <v>486.81</v>
      </c>
      <c r="J448">
        <v>36.630000000000003</v>
      </c>
      <c r="K448">
        <v>105.93</v>
      </c>
      <c r="L448" t="s">
        <v>20</v>
      </c>
      <c r="M448" t="s">
        <v>35</v>
      </c>
      <c r="N448" t="s">
        <v>43</v>
      </c>
      <c r="O448">
        <f t="shared" si="6"/>
        <v>21.760029580329082</v>
      </c>
    </row>
    <row r="449" spans="1:15" x14ac:dyDescent="0.3">
      <c r="A449" t="s">
        <v>894</v>
      </c>
      <c r="B449" t="s">
        <v>895</v>
      </c>
      <c r="C449" t="s">
        <v>384</v>
      </c>
      <c r="D449" t="s">
        <v>107</v>
      </c>
      <c r="E449" t="s">
        <v>27</v>
      </c>
      <c r="F449" t="s">
        <v>19</v>
      </c>
      <c r="G449">
        <v>45</v>
      </c>
      <c r="H449">
        <v>26.93</v>
      </c>
      <c r="I449">
        <v>1211.8499999999999</v>
      </c>
      <c r="J449">
        <v>62.85</v>
      </c>
      <c r="K449">
        <v>339</v>
      </c>
      <c r="L449" t="s">
        <v>28</v>
      </c>
      <c r="M449" t="s">
        <v>29</v>
      </c>
      <c r="N449" t="s">
        <v>108</v>
      </c>
      <c r="O449">
        <f t="shared" si="6"/>
        <v>27.973759128605032</v>
      </c>
    </row>
    <row r="450" spans="1:15" x14ac:dyDescent="0.3">
      <c r="A450" t="s">
        <v>896</v>
      </c>
      <c r="B450" t="s">
        <v>897</v>
      </c>
      <c r="C450" t="s">
        <v>472</v>
      </c>
      <c r="D450" t="s">
        <v>34</v>
      </c>
      <c r="E450" t="s">
        <v>54</v>
      </c>
      <c r="F450" t="s">
        <v>41</v>
      </c>
      <c r="G450">
        <v>40</v>
      </c>
      <c r="H450">
        <v>32.54</v>
      </c>
      <c r="I450">
        <v>1301.5999999999999</v>
      </c>
      <c r="J450">
        <v>47.06</v>
      </c>
      <c r="K450">
        <v>454.54</v>
      </c>
      <c r="L450" t="s">
        <v>20</v>
      </c>
      <c r="M450" t="s">
        <v>29</v>
      </c>
      <c r="N450" t="s">
        <v>30</v>
      </c>
      <c r="O450">
        <f t="shared" si="6"/>
        <v>34.921634910878922</v>
      </c>
    </row>
    <row r="451" spans="1:15" x14ac:dyDescent="0.3">
      <c r="A451" t="s">
        <v>898</v>
      </c>
      <c r="B451" t="s">
        <v>859</v>
      </c>
      <c r="C451" t="s">
        <v>106</v>
      </c>
      <c r="D451" t="s">
        <v>249</v>
      </c>
      <c r="E451" t="s">
        <v>58</v>
      </c>
      <c r="F451" t="s">
        <v>59</v>
      </c>
      <c r="G451">
        <v>26</v>
      </c>
      <c r="H451">
        <v>35.32</v>
      </c>
      <c r="I451">
        <v>918.32</v>
      </c>
      <c r="J451">
        <v>60.02</v>
      </c>
      <c r="K451">
        <v>273.3</v>
      </c>
      <c r="L451" t="s">
        <v>42</v>
      </c>
      <c r="M451" t="s">
        <v>21</v>
      </c>
      <c r="N451" t="s">
        <v>66</v>
      </c>
      <c r="O451">
        <f t="shared" ref="O451:O501" si="7">K451/I451*100</f>
        <v>29.76086767139995</v>
      </c>
    </row>
    <row r="452" spans="1:15" x14ac:dyDescent="0.3">
      <c r="A452" t="s">
        <v>899</v>
      </c>
      <c r="B452" t="s">
        <v>888</v>
      </c>
      <c r="C452" t="s">
        <v>117</v>
      </c>
      <c r="D452" t="s">
        <v>39</v>
      </c>
      <c r="E452" t="s">
        <v>73</v>
      </c>
      <c r="F452" t="s">
        <v>41</v>
      </c>
      <c r="G452">
        <v>16</v>
      </c>
      <c r="H452">
        <v>16.440000000000001</v>
      </c>
      <c r="I452">
        <v>263.04000000000002</v>
      </c>
      <c r="J452">
        <v>17.64</v>
      </c>
      <c r="K452">
        <v>41.4</v>
      </c>
      <c r="L452" t="s">
        <v>20</v>
      </c>
      <c r="M452" t="s">
        <v>21</v>
      </c>
      <c r="N452" t="s">
        <v>43</v>
      </c>
      <c r="O452">
        <f t="shared" si="7"/>
        <v>15.73905109489051</v>
      </c>
    </row>
    <row r="453" spans="1:15" x14ac:dyDescent="0.3">
      <c r="A453" t="s">
        <v>900</v>
      </c>
      <c r="B453" t="s">
        <v>286</v>
      </c>
      <c r="C453" t="s">
        <v>327</v>
      </c>
      <c r="D453" t="s">
        <v>137</v>
      </c>
      <c r="E453" t="s">
        <v>103</v>
      </c>
      <c r="F453" t="s">
        <v>59</v>
      </c>
      <c r="G453">
        <v>39</v>
      </c>
      <c r="H453">
        <v>46.27</v>
      </c>
      <c r="I453">
        <v>1804.53</v>
      </c>
      <c r="J453">
        <v>38.57</v>
      </c>
      <c r="K453">
        <v>673.96</v>
      </c>
      <c r="L453" t="s">
        <v>42</v>
      </c>
      <c r="M453" t="s">
        <v>35</v>
      </c>
      <c r="N453" t="s">
        <v>30</v>
      </c>
      <c r="O453">
        <f t="shared" si="7"/>
        <v>37.348229178788941</v>
      </c>
    </row>
    <row r="454" spans="1:15" x14ac:dyDescent="0.3">
      <c r="A454" t="s">
        <v>901</v>
      </c>
      <c r="B454" t="s">
        <v>712</v>
      </c>
      <c r="C454" t="s">
        <v>212</v>
      </c>
      <c r="D454" t="s">
        <v>26</v>
      </c>
      <c r="E454" t="s">
        <v>64</v>
      </c>
      <c r="F454" t="s">
        <v>65</v>
      </c>
      <c r="G454">
        <v>15</v>
      </c>
      <c r="H454">
        <v>33.22</v>
      </c>
      <c r="I454">
        <v>498.3</v>
      </c>
      <c r="J454">
        <v>36.85</v>
      </c>
      <c r="K454">
        <v>86.45</v>
      </c>
      <c r="L454" t="s">
        <v>42</v>
      </c>
      <c r="M454" t="s">
        <v>35</v>
      </c>
      <c r="N454" t="s">
        <v>30</v>
      </c>
      <c r="O454">
        <f t="shared" si="7"/>
        <v>17.348986554284568</v>
      </c>
    </row>
    <row r="455" spans="1:15" x14ac:dyDescent="0.3">
      <c r="A455" t="s">
        <v>902</v>
      </c>
      <c r="B455" t="s">
        <v>663</v>
      </c>
      <c r="C455" t="s">
        <v>295</v>
      </c>
      <c r="D455" t="s">
        <v>107</v>
      </c>
      <c r="E455" t="s">
        <v>48</v>
      </c>
      <c r="F455" t="s">
        <v>49</v>
      </c>
      <c r="G455">
        <v>35</v>
      </c>
      <c r="H455">
        <v>71.02</v>
      </c>
      <c r="I455">
        <v>2485.6999999999998</v>
      </c>
      <c r="J455">
        <v>137.22</v>
      </c>
      <c r="K455">
        <v>948.48</v>
      </c>
      <c r="L455" t="s">
        <v>28</v>
      </c>
      <c r="M455" t="s">
        <v>29</v>
      </c>
      <c r="N455" t="s">
        <v>108</v>
      </c>
      <c r="O455">
        <f t="shared" si="7"/>
        <v>38.157460675061358</v>
      </c>
    </row>
    <row r="456" spans="1:15" x14ac:dyDescent="0.3">
      <c r="A456" t="s">
        <v>903</v>
      </c>
      <c r="B456" t="s">
        <v>528</v>
      </c>
      <c r="C456" t="s">
        <v>131</v>
      </c>
      <c r="D456" t="s">
        <v>89</v>
      </c>
      <c r="E456" t="s">
        <v>103</v>
      </c>
      <c r="F456" t="s">
        <v>59</v>
      </c>
      <c r="G456">
        <v>2</v>
      </c>
      <c r="H456">
        <v>42.31</v>
      </c>
      <c r="I456">
        <v>84.62</v>
      </c>
      <c r="J456">
        <v>4.28</v>
      </c>
      <c r="K456">
        <v>24.34</v>
      </c>
      <c r="L456" t="s">
        <v>28</v>
      </c>
      <c r="M456" t="s">
        <v>29</v>
      </c>
      <c r="N456" t="s">
        <v>66</v>
      </c>
      <c r="O456">
        <f t="shared" si="7"/>
        <v>28.763885606239658</v>
      </c>
    </row>
    <row r="457" spans="1:15" x14ac:dyDescent="0.3">
      <c r="A457" t="s">
        <v>904</v>
      </c>
      <c r="B457" t="s">
        <v>119</v>
      </c>
      <c r="C457" t="s">
        <v>114</v>
      </c>
      <c r="D457" t="s">
        <v>82</v>
      </c>
      <c r="E457" t="s">
        <v>64</v>
      </c>
      <c r="F457" t="s">
        <v>65</v>
      </c>
      <c r="G457">
        <v>8</v>
      </c>
      <c r="H457">
        <v>41.36</v>
      </c>
      <c r="I457">
        <v>330.88</v>
      </c>
      <c r="J457">
        <v>11.78</v>
      </c>
      <c r="K457">
        <v>119.1</v>
      </c>
      <c r="L457" t="s">
        <v>20</v>
      </c>
      <c r="M457" t="s">
        <v>21</v>
      </c>
      <c r="N457" t="s">
        <v>66</v>
      </c>
      <c r="O457">
        <f t="shared" si="7"/>
        <v>35.994922630560929</v>
      </c>
    </row>
    <row r="458" spans="1:15" x14ac:dyDescent="0.3">
      <c r="A458" t="s">
        <v>905</v>
      </c>
      <c r="B458" t="s">
        <v>906</v>
      </c>
      <c r="C458" t="s">
        <v>160</v>
      </c>
      <c r="D458" t="s">
        <v>47</v>
      </c>
      <c r="E458" t="s">
        <v>27</v>
      </c>
      <c r="F458" t="s">
        <v>19</v>
      </c>
      <c r="G458">
        <v>3</v>
      </c>
      <c r="H458">
        <v>31.39</v>
      </c>
      <c r="I458">
        <v>94.17</v>
      </c>
      <c r="J458">
        <v>2.52</v>
      </c>
      <c r="K458">
        <v>37.65</v>
      </c>
      <c r="L458" t="s">
        <v>42</v>
      </c>
      <c r="M458" t="s">
        <v>35</v>
      </c>
      <c r="N458" t="s">
        <v>22</v>
      </c>
      <c r="O458">
        <f t="shared" si="7"/>
        <v>39.980885632366991</v>
      </c>
    </row>
    <row r="459" spans="1:15" x14ac:dyDescent="0.3">
      <c r="A459" t="s">
        <v>907</v>
      </c>
      <c r="B459" t="s">
        <v>908</v>
      </c>
      <c r="C459" t="s">
        <v>198</v>
      </c>
      <c r="D459" t="s">
        <v>137</v>
      </c>
      <c r="E459" t="s">
        <v>58</v>
      </c>
      <c r="F459" t="s">
        <v>59</v>
      </c>
      <c r="G459">
        <v>48</v>
      </c>
      <c r="H459">
        <v>33.61</v>
      </c>
      <c r="I459">
        <v>1613.28</v>
      </c>
      <c r="J459">
        <v>109.92</v>
      </c>
      <c r="K459">
        <v>423.36</v>
      </c>
      <c r="L459" t="s">
        <v>20</v>
      </c>
      <c r="M459" t="s">
        <v>35</v>
      </c>
      <c r="N459" t="s">
        <v>30</v>
      </c>
      <c r="O459">
        <f t="shared" si="7"/>
        <v>26.242189824457007</v>
      </c>
    </row>
    <row r="460" spans="1:15" x14ac:dyDescent="0.3">
      <c r="A460" t="s">
        <v>909</v>
      </c>
      <c r="B460" t="s">
        <v>910</v>
      </c>
      <c r="C460" t="s">
        <v>243</v>
      </c>
      <c r="D460" t="s">
        <v>207</v>
      </c>
      <c r="E460" t="s">
        <v>40</v>
      </c>
      <c r="F460" t="s">
        <v>41</v>
      </c>
      <c r="G460">
        <v>9</v>
      </c>
      <c r="H460">
        <v>50.29</v>
      </c>
      <c r="I460">
        <v>452.61</v>
      </c>
      <c r="J460">
        <v>32.93</v>
      </c>
      <c r="K460">
        <v>131.68</v>
      </c>
      <c r="L460" t="s">
        <v>28</v>
      </c>
      <c r="M460" t="s">
        <v>35</v>
      </c>
      <c r="N460" t="s">
        <v>30</v>
      </c>
      <c r="O460">
        <f t="shared" si="7"/>
        <v>29.093480038001811</v>
      </c>
    </row>
    <row r="461" spans="1:15" x14ac:dyDescent="0.3">
      <c r="A461" t="s">
        <v>911</v>
      </c>
      <c r="B461" t="s">
        <v>912</v>
      </c>
      <c r="C461" t="s">
        <v>198</v>
      </c>
      <c r="D461" t="s">
        <v>17</v>
      </c>
      <c r="E461" t="s">
        <v>58</v>
      </c>
      <c r="F461" t="s">
        <v>59</v>
      </c>
      <c r="G461">
        <v>12</v>
      </c>
      <c r="H461">
        <v>34.96</v>
      </c>
      <c r="I461">
        <v>419.52</v>
      </c>
      <c r="J461">
        <v>15.43</v>
      </c>
      <c r="K461">
        <v>134.09</v>
      </c>
      <c r="L461" t="s">
        <v>28</v>
      </c>
      <c r="M461" t="s">
        <v>35</v>
      </c>
      <c r="N461" t="s">
        <v>22</v>
      </c>
      <c r="O461">
        <f t="shared" si="7"/>
        <v>31.962719298245617</v>
      </c>
    </row>
    <row r="462" spans="1:15" x14ac:dyDescent="0.3">
      <c r="A462" t="s">
        <v>913</v>
      </c>
      <c r="B462" t="s">
        <v>914</v>
      </c>
      <c r="C462" t="s">
        <v>553</v>
      </c>
      <c r="D462" t="s">
        <v>172</v>
      </c>
      <c r="E462" t="s">
        <v>18</v>
      </c>
      <c r="F462" t="s">
        <v>19</v>
      </c>
      <c r="G462">
        <v>29</v>
      </c>
      <c r="H462">
        <v>52.72</v>
      </c>
      <c r="I462">
        <v>1528.88</v>
      </c>
      <c r="J462">
        <v>96.91</v>
      </c>
      <c r="K462">
        <v>416.97</v>
      </c>
      <c r="L462" t="s">
        <v>28</v>
      </c>
      <c r="M462" t="s">
        <v>35</v>
      </c>
      <c r="N462" t="s">
        <v>173</v>
      </c>
      <c r="O462">
        <f t="shared" si="7"/>
        <v>27.272905656428236</v>
      </c>
    </row>
    <row r="463" spans="1:15" x14ac:dyDescent="0.3">
      <c r="A463" t="s">
        <v>915</v>
      </c>
      <c r="B463" t="s">
        <v>321</v>
      </c>
      <c r="C463" t="s">
        <v>488</v>
      </c>
      <c r="D463" t="s">
        <v>47</v>
      </c>
      <c r="E463" t="s">
        <v>69</v>
      </c>
      <c r="F463" t="s">
        <v>59</v>
      </c>
      <c r="G463">
        <v>39</v>
      </c>
      <c r="H463">
        <v>22.18</v>
      </c>
      <c r="I463">
        <v>865.02</v>
      </c>
      <c r="J463">
        <v>26.23</v>
      </c>
      <c r="K463">
        <v>234.29</v>
      </c>
      <c r="L463" t="s">
        <v>20</v>
      </c>
      <c r="M463" t="s">
        <v>35</v>
      </c>
      <c r="N463" t="s">
        <v>22</v>
      </c>
      <c r="O463">
        <f t="shared" si="7"/>
        <v>27.084922891956253</v>
      </c>
    </row>
    <row r="464" spans="1:15" x14ac:dyDescent="0.3">
      <c r="A464" t="s">
        <v>916</v>
      </c>
      <c r="B464" t="s">
        <v>270</v>
      </c>
      <c r="C464" t="s">
        <v>478</v>
      </c>
      <c r="D464" t="s">
        <v>82</v>
      </c>
      <c r="E464" t="s">
        <v>69</v>
      </c>
      <c r="F464" t="s">
        <v>59</v>
      </c>
      <c r="G464">
        <v>11</v>
      </c>
      <c r="H464">
        <v>21.4</v>
      </c>
      <c r="I464">
        <v>235.4</v>
      </c>
      <c r="J464">
        <v>11.64</v>
      </c>
      <c r="K464">
        <v>53.26</v>
      </c>
      <c r="L464" t="s">
        <v>20</v>
      </c>
      <c r="M464" t="s">
        <v>35</v>
      </c>
      <c r="N464" t="s">
        <v>66</v>
      </c>
      <c r="O464">
        <f t="shared" si="7"/>
        <v>22.625318606627015</v>
      </c>
    </row>
    <row r="465" spans="1:15" x14ac:dyDescent="0.3">
      <c r="A465" t="s">
        <v>917</v>
      </c>
      <c r="B465" t="s">
        <v>918</v>
      </c>
      <c r="C465" t="s">
        <v>429</v>
      </c>
      <c r="D465" t="s">
        <v>82</v>
      </c>
      <c r="E465" t="s">
        <v>64</v>
      </c>
      <c r="F465" t="s">
        <v>65</v>
      </c>
      <c r="G465">
        <v>21</v>
      </c>
      <c r="H465">
        <v>36.26</v>
      </c>
      <c r="I465">
        <v>761.46</v>
      </c>
      <c r="J465">
        <v>56.99</v>
      </c>
      <c r="K465">
        <v>179.47</v>
      </c>
      <c r="L465" t="s">
        <v>28</v>
      </c>
      <c r="M465" t="s">
        <v>21</v>
      </c>
      <c r="N465" t="s">
        <v>66</v>
      </c>
      <c r="O465">
        <f t="shared" si="7"/>
        <v>23.56919601817561</v>
      </c>
    </row>
    <row r="466" spans="1:15" x14ac:dyDescent="0.3">
      <c r="A466" t="s">
        <v>919</v>
      </c>
      <c r="B466" t="s">
        <v>424</v>
      </c>
      <c r="C466" t="s">
        <v>295</v>
      </c>
      <c r="D466" t="s">
        <v>63</v>
      </c>
      <c r="E466" t="s">
        <v>58</v>
      </c>
      <c r="F466" t="s">
        <v>59</v>
      </c>
      <c r="G466">
        <v>39</v>
      </c>
      <c r="H466">
        <v>35.409999999999997</v>
      </c>
      <c r="I466">
        <v>1380.99</v>
      </c>
      <c r="J466">
        <v>84.56</v>
      </c>
      <c r="K466">
        <v>418.93</v>
      </c>
      <c r="L466" t="s">
        <v>28</v>
      </c>
      <c r="M466" t="s">
        <v>21</v>
      </c>
      <c r="N466" t="s">
        <v>66</v>
      </c>
      <c r="O466">
        <f t="shared" si="7"/>
        <v>30.33548396440235</v>
      </c>
    </row>
    <row r="467" spans="1:15" x14ac:dyDescent="0.3">
      <c r="A467" t="s">
        <v>920</v>
      </c>
      <c r="B467" t="s">
        <v>482</v>
      </c>
      <c r="C467" t="s">
        <v>143</v>
      </c>
      <c r="D467" t="s">
        <v>63</v>
      </c>
      <c r="E467" t="s">
        <v>27</v>
      </c>
      <c r="F467" t="s">
        <v>19</v>
      </c>
      <c r="G467">
        <v>13</v>
      </c>
      <c r="H467">
        <v>27.35</v>
      </c>
      <c r="I467">
        <v>355.55</v>
      </c>
      <c r="J467">
        <v>26.23</v>
      </c>
      <c r="K467">
        <v>95.32</v>
      </c>
      <c r="L467" t="s">
        <v>28</v>
      </c>
      <c r="M467" t="s">
        <v>35</v>
      </c>
      <c r="N467" t="s">
        <v>66</v>
      </c>
      <c r="O467">
        <f t="shared" si="7"/>
        <v>26.809168893263958</v>
      </c>
    </row>
    <row r="468" spans="1:15" x14ac:dyDescent="0.3">
      <c r="A468" t="s">
        <v>921</v>
      </c>
      <c r="B468" t="s">
        <v>653</v>
      </c>
      <c r="C468" t="s">
        <v>114</v>
      </c>
      <c r="D468" t="s">
        <v>39</v>
      </c>
      <c r="E468" t="s">
        <v>73</v>
      </c>
      <c r="F468" t="s">
        <v>41</v>
      </c>
      <c r="G468">
        <v>40</v>
      </c>
      <c r="H468">
        <v>21.08</v>
      </c>
      <c r="I468">
        <v>843.2</v>
      </c>
      <c r="J468">
        <v>66.81</v>
      </c>
      <c r="K468">
        <v>266.39</v>
      </c>
      <c r="L468" t="s">
        <v>42</v>
      </c>
      <c r="M468" t="s">
        <v>29</v>
      </c>
      <c r="N468" t="s">
        <v>43</v>
      </c>
      <c r="O468">
        <f t="shared" si="7"/>
        <v>31.592741935483872</v>
      </c>
    </row>
    <row r="469" spans="1:15" x14ac:dyDescent="0.3">
      <c r="A469" t="s">
        <v>922</v>
      </c>
      <c r="B469" t="s">
        <v>707</v>
      </c>
      <c r="C469" t="s">
        <v>553</v>
      </c>
      <c r="D469" t="s">
        <v>53</v>
      </c>
      <c r="E469" t="s">
        <v>69</v>
      </c>
      <c r="F469" t="s">
        <v>59</v>
      </c>
      <c r="G469">
        <v>47</v>
      </c>
      <c r="H469">
        <v>27.54</v>
      </c>
      <c r="I469">
        <v>1294.3800000000001</v>
      </c>
      <c r="J469">
        <v>62.78</v>
      </c>
      <c r="K469">
        <v>503.1</v>
      </c>
      <c r="L469" t="s">
        <v>20</v>
      </c>
      <c r="M469" t="s">
        <v>21</v>
      </c>
      <c r="N469" t="s">
        <v>22</v>
      </c>
      <c r="O469">
        <f t="shared" si="7"/>
        <v>38.868029481296062</v>
      </c>
    </row>
    <row r="470" spans="1:15" x14ac:dyDescent="0.3">
      <c r="A470" t="s">
        <v>923</v>
      </c>
      <c r="B470" t="s">
        <v>924</v>
      </c>
      <c r="C470" t="s">
        <v>38</v>
      </c>
      <c r="D470" t="s">
        <v>249</v>
      </c>
      <c r="E470" t="s">
        <v>40</v>
      </c>
      <c r="F470" t="s">
        <v>41</v>
      </c>
      <c r="G470">
        <v>16</v>
      </c>
      <c r="H470">
        <v>45.08</v>
      </c>
      <c r="I470">
        <v>721.28</v>
      </c>
      <c r="J470">
        <v>21.61</v>
      </c>
      <c r="K470">
        <v>187.67</v>
      </c>
      <c r="L470" t="s">
        <v>28</v>
      </c>
      <c r="M470" t="s">
        <v>35</v>
      </c>
      <c r="N470" t="s">
        <v>66</v>
      </c>
      <c r="O470">
        <f t="shared" si="7"/>
        <v>26.019021739130434</v>
      </c>
    </row>
    <row r="471" spans="1:15" x14ac:dyDescent="0.3">
      <c r="A471" t="s">
        <v>925</v>
      </c>
      <c r="B471" t="s">
        <v>690</v>
      </c>
      <c r="C471" t="s">
        <v>163</v>
      </c>
      <c r="D471" t="s">
        <v>89</v>
      </c>
      <c r="E471" t="s">
        <v>58</v>
      </c>
      <c r="F471" t="s">
        <v>59</v>
      </c>
      <c r="G471">
        <v>37</v>
      </c>
      <c r="H471">
        <v>33.200000000000003</v>
      </c>
      <c r="I471">
        <v>1228.4000000000001</v>
      </c>
      <c r="J471">
        <v>41.34</v>
      </c>
      <c r="K471">
        <v>354.56</v>
      </c>
      <c r="L471" t="s">
        <v>42</v>
      </c>
      <c r="M471" t="s">
        <v>29</v>
      </c>
      <c r="N471" t="s">
        <v>66</v>
      </c>
      <c r="O471">
        <f t="shared" si="7"/>
        <v>28.863562357538257</v>
      </c>
    </row>
    <row r="472" spans="1:15" x14ac:dyDescent="0.3">
      <c r="A472" t="s">
        <v>926</v>
      </c>
      <c r="B472" t="s">
        <v>153</v>
      </c>
      <c r="C472" t="s">
        <v>16</v>
      </c>
      <c r="D472" t="s">
        <v>89</v>
      </c>
      <c r="E472" t="s">
        <v>27</v>
      </c>
      <c r="F472" t="s">
        <v>19</v>
      </c>
      <c r="G472">
        <v>8</v>
      </c>
      <c r="H472">
        <v>27.31</v>
      </c>
      <c r="I472">
        <v>218.48</v>
      </c>
      <c r="J472">
        <v>9.51</v>
      </c>
      <c r="K472">
        <v>64.97</v>
      </c>
      <c r="L472" t="s">
        <v>42</v>
      </c>
      <c r="M472" t="s">
        <v>21</v>
      </c>
      <c r="N472" t="s">
        <v>66</v>
      </c>
      <c r="O472">
        <f t="shared" si="7"/>
        <v>29.737275723178325</v>
      </c>
    </row>
    <row r="473" spans="1:15" x14ac:dyDescent="0.3">
      <c r="A473" t="s">
        <v>927</v>
      </c>
      <c r="B473" t="s">
        <v>451</v>
      </c>
      <c r="C473" t="s">
        <v>123</v>
      </c>
      <c r="D473" t="s">
        <v>107</v>
      </c>
      <c r="E473" t="s">
        <v>27</v>
      </c>
      <c r="F473" t="s">
        <v>19</v>
      </c>
      <c r="G473">
        <v>19</v>
      </c>
      <c r="H473">
        <v>29.14</v>
      </c>
      <c r="I473">
        <v>553.66</v>
      </c>
      <c r="J473">
        <v>19.7</v>
      </c>
      <c r="K473">
        <v>191.96</v>
      </c>
      <c r="L473" t="s">
        <v>20</v>
      </c>
      <c r="M473" t="s">
        <v>29</v>
      </c>
      <c r="N473" t="s">
        <v>108</v>
      </c>
      <c r="O473">
        <f t="shared" si="7"/>
        <v>34.671097785644619</v>
      </c>
    </row>
    <row r="474" spans="1:15" x14ac:dyDescent="0.3">
      <c r="A474" t="s">
        <v>928</v>
      </c>
      <c r="B474" t="s">
        <v>267</v>
      </c>
      <c r="C474" t="s">
        <v>298</v>
      </c>
      <c r="D474" t="s">
        <v>82</v>
      </c>
      <c r="E474" t="s">
        <v>18</v>
      </c>
      <c r="F474" t="s">
        <v>19</v>
      </c>
      <c r="G474">
        <v>6</v>
      </c>
      <c r="H474">
        <v>55.41</v>
      </c>
      <c r="I474">
        <v>332.46</v>
      </c>
      <c r="J474">
        <v>15.57</v>
      </c>
      <c r="K474">
        <v>106.89</v>
      </c>
      <c r="L474" t="s">
        <v>20</v>
      </c>
      <c r="M474" t="s">
        <v>21</v>
      </c>
      <c r="N474" t="s">
        <v>66</v>
      </c>
      <c r="O474">
        <f t="shared" si="7"/>
        <v>32.151236238946041</v>
      </c>
    </row>
    <row r="475" spans="1:15" x14ac:dyDescent="0.3">
      <c r="A475" t="s">
        <v>929</v>
      </c>
      <c r="B475" t="s">
        <v>373</v>
      </c>
      <c r="C475" t="s">
        <v>274</v>
      </c>
      <c r="D475" t="s">
        <v>89</v>
      </c>
      <c r="E475" t="s">
        <v>27</v>
      </c>
      <c r="F475" t="s">
        <v>19</v>
      </c>
      <c r="G475">
        <v>48</v>
      </c>
      <c r="H475">
        <v>29.07</v>
      </c>
      <c r="I475">
        <v>1395.36</v>
      </c>
      <c r="J475">
        <v>70.38</v>
      </c>
      <c r="K475">
        <v>460.98</v>
      </c>
      <c r="L475" t="s">
        <v>28</v>
      </c>
      <c r="M475" t="s">
        <v>35</v>
      </c>
      <c r="N475" t="s">
        <v>66</v>
      </c>
      <c r="O475">
        <f t="shared" si="7"/>
        <v>33.036635706914346</v>
      </c>
    </row>
    <row r="476" spans="1:15" x14ac:dyDescent="0.3">
      <c r="A476" t="s">
        <v>930</v>
      </c>
      <c r="B476" t="s">
        <v>931</v>
      </c>
      <c r="C476" t="s">
        <v>422</v>
      </c>
      <c r="D476" t="s">
        <v>39</v>
      </c>
      <c r="E476" t="s">
        <v>58</v>
      </c>
      <c r="F476" t="s">
        <v>59</v>
      </c>
      <c r="G476">
        <v>26</v>
      </c>
      <c r="H476">
        <v>27.17</v>
      </c>
      <c r="I476">
        <v>706.42</v>
      </c>
      <c r="J476">
        <v>33.94</v>
      </c>
      <c r="K476">
        <v>87.48</v>
      </c>
      <c r="L476" t="s">
        <v>42</v>
      </c>
      <c r="M476" t="s">
        <v>29</v>
      </c>
      <c r="N476" t="s">
        <v>43</v>
      </c>
      <c r="O476">
        <f t="shared" si="7"/>
        <v>12.383567849154895</v>
      </c>
    </row>
    <row r="477" spans="1:15" x14ac:dyDescent="0.3">
      <c r="A477" t="s">
        <v>932</v>
      </c>
      <c r="B477" t="s">
        <v>209</v>
      </c>
      <c r="C477" t="s">
        <v>136</v>
      </c>
      <c r="D477" t="s">
        <v>93</v>
      </c>
      <c r="E477" t="s">
        <v>18</v>
      </c>
      <c r="F477" t="s">
        <v>19</v>
      </c>
      <c r="G477">
        <v>9</v>
      </c>
      <c r="H477">
        <v>48.76</v>
      </c>
      <c r="I477">
        <v>438.84</v>
      </c>
      <c r="J477">
        <v>16.91</v>
      </c>
      <c r="K477">
        <v>106.93</v>
      </c>
      <c r="L477" t="s">
        <v>42</v>
      </c>
      <c r="M477" t="s">
        <v>21</v>
      </c>
      <c r="N477" t="s">
        <v>66</v>
      </c>
      <c r="O477">
        <f t="shared" si="7"/>
        <v>24.366511712697115</v>
      </c>
    </row>
    <row r="478" spans="1:15" x14ac:dyDescent="0.3">
      <c r="A478" t="s">
        <v>933</v>
      </c>
      <c r="B478" t="s">
        <v>653</v>
      </c>
      <c r="C478" t="s">
        <v>327</v>
      </c>
      <c r="D478" t="s">
        <v>26</v>
      </c>
      <c r="E478" t="s">
        <v>58</v>
      </c>
      <c r="F478" t="s">
        <v>59</v>
      </c>
      <c r="G478">
        <v>37</v>
      </c>
      <c r="H478">
        <v>33.21</v>
      </c>
      <c r="I478">
        <v>1228.77</v>
      </c>
      <c r="J478">
        <v>96.12</v>
      </c>
      <c r="K478">
        <v>300.14999999999998</v>
      </c>
      <c r="L478" t="s">
        <v>42</v>
      </c>
      <c r="M478" t="s">
        <v>29</v>
      </c>
      <c r="N478" t="s">
        <v>30</v>
      </c>
      <c r="O478">
        <f t="shared" si="7"/>
        <v>24.426865890280521</v>
      </c>
    </row>
    <row r="479" spans="1:15" x14ac:dyDescent="0.3">
      <c r="A479" t="s">
        <v>934</v>
      </c>
      <c r="B479" t="s">
        <v>639</v>
      </c>
      <c r="C479" t="s">
        <v>136</v>
      </c>
      <c r="D479" t="s">
        <v>39</v>
      </c>
      <c r="E479" t="s">
        <v>73</v>
      </c>
      <c r="F479" t="s">
        <v>41</v>
      </c>
      <c r="G479">
        <v>29</v>
      </c>
      <c r="H479">
        <v>16.54</v>
      </c>
      <c r="I479">
        <v>479.66</v>
      </c>
      <c r="J479">
        <v>30.23</v>
      </c>
      <c r="K479">
        <v>79.680000000000007</v>
      </c>
      <c r="L479" t="s">
        <v>28</v>
      </c>
      <c r="M479" t="s">
        <v>35</v>
      </c>
      <c r="N479" t="s">
        <v>43</v>
      </c>
      <c r="O479">
        <f t="shared" si="7"/>
        <v>16.611766668056539</v>
      </c>
    </row>
    <row r="480" spans="1:15" x14ac:dyDescent="0.3">
      <c r="A480" t="s">
        <v>935</v>
      </c>
      <c r="B480" t="s">
        <v>190</v>
      </c>
      <c r="C480" t="s">
        <v>92</v>
      </c>
      <c r="D480" t="s">
        <v>172</v>
      </c>
      <c r="E480" t="s">
        <v>64</v>
      </c>
      <c r="F480" t="s">
        <v>65</v>
      </c>
      <c r="G480">
        <v>11</v>
      </c>
      <c r="H480">
        <v>44.56</v>
      </c>
      <c r="I480">
        <v>490.16</v>
      </c>
      <c r="J480">
        <v>23.97</v>
      </c>
      <c r="K480">
        <v>191.19</v>
      </c>
      <c r="L480" t="s">
        <v>28</v>
      </c>
      <c r="M480" t="s">
        <v>35</v>
      </c>
      <c r="N480" t="s">
        <v>173</v>
      </c>
      <c r="O480">
        <f t="shared" si="7"/>
        <v>39.005630814427938</v>
      </c>
    </row>
    <row r="481" spans="1:15" x14ac:dyDescent="0.3">
      <c r="A481" t="s">
        <v>936</v>
      </c>
      <c r="B481" t="s">
        <v>642</v>
      </c>
      <c r="C481" t="s">
        <v>57</v>
      </c>
      <c r="D481" t="s">
        <v>53</v>
      </c>
      <c r="E481" t="s">
        <v>40</v>
      </c>
      <c r="F481" t="s">
        <v>41</v>
      </c>
      <c r="G481">
        <v>50</v>
      </c>
      <c r="H481">
        <v>44.78</v>
      </c>
      <c r="I481">
        <v>2239</v>
      </c>
      <c r="J481">
        <v>169.97</v>
      </c>
      <c r="K481">
        <v>469.03</v>
      </c>
      <c r="L481" t="s">
        <v>20</v>
      </c>
      <c r="M481" t="s">
        <v>35</v>
      </c>
      <c r="N481" t="s">
        <v>22</v>
      </c>
      <c r="O481">
        <f t="shared" si="7"/>
        <v>20.948191156766413</v>
      </c>
    </row>
    <row r="482" spans="1:15" x14ac:dyDescent="0.3">
      <c r="A482" t="s">
        <v>937</v>
      </c>
      <c r="B482" t="s">
        <v>938</v>
      </c>
      <c r="C482" t="s">
        <v>88</v>
      </c>
      <c r="D482" t="s">
        <v>17</v>
      </c>
      <c r="E482" t="s">
        <v>27</v>
      </c>
      <c r="F482" t="s">
        <v>19</v>
      </c>
      <c r="G482">
        <v>30</v>
      </c>
      <c r="H482">
        <v>22.51</v>
      </c>
      <c r="I482">
        <v>675.3</v>
      </c>
      <c r="J482">
        <v>26.26</v>
      </c>
      <c r="K482">
        <v>109.04</v>
      </c>
      <c r="L482" t="s">
        <v>20</v>
      </c>
      <c r="M482" t="s">
        <v>21</v>
      </c>
      <c r="N482" t="s">
        <v>22</v>
      </c>
      <c r="O482">
        <f t="shared" si="7"/>
        <v>16.146897675107361</v>
      </c>
    </row>
    <row r="483" spans="1:15" x14ac:dyDescent="0.3">
      <c r="A483" t="s">
        <v>939</v>
      </c>
      <c r="B483" t="s">
        <v>940</v>
      </c>
      <c r="C483" t="s">
        <v>358</v>
      </c>
      <c r="D483" t="s">
        <v>172</v>
      </c>
      <c r="E483" t="s">
        <v>69</v>
      </c>
      <c r="F483" t="s">
        <v>59</v>
      </c>
      <c r="G483">
        <v>50</v>
      </c>
      <c r="H483">
        <v>27.18</v>
      </c>
      <c r="I483">
        <v>1359</v>
      </c>
      <c r="J483">
        <v>45.67</v>
      </c>
      <c r="K483">
        <v>538.33000000000004</v>
      </c>
      <c r="L483" t="s">
        <v>20</v>
      </c>
      <c r="M483" t="s">
        <v>35</v>
      </c>
      <c r="N483" t="s">
        <v>173</v>
      </c>
      <c r="O483">
        <f t="shared" si="7"/>
        <v>39.612214863870499</v>
      </c>
    </row>
    <row r="484" spans="1:15" x14ac:dyDescent="0.3">
      <c r="A484" t="s">
        <v>941</v>
      </c>
      <c r="B484" t="s">
        <v>673</v>
      </c>
      <c r="C484" t="s">
        <v>182</v>
      </c>
      <c r="D484" t="s">
        <v>34</v>
      </c>
      <c r="E484" t="s">
        <v>103</v>
      </c>
      <c r="F484" t="s">
        <v>59</v>
      </c>
      <c r="G484">
        <v>28</v>
      </c>
      <c r="H484">
        <v>37.51</v>
      </c>
      <c r="I484">
        <v>1050.28</v>
      </c>
      <c r="J484">
        <v>45.83</v>
      </c>
      <c r="K484">
        <v>220.45</v>
      </c>
      <c r="L484" t="s">
        <v>42</v>
      </c>
      <c r="M484" t="s">
        <v>29</v>
      </c>
      <c r="N484" t="s">
        <v>30</v>
      </c>
      <c r="O484">
        <f t="shared" si="7"/>
        <v>20.989640857676047</v>
      </c>
    </row>
    <row r="485" spans="1:15" x14ac:dyDescent="0.3">
      <c r="A485" t="s">
        <v>942</v>
      </c>
      <c r="B485" t="s">
        <v>234</v>
      </c>
      <c r="C485" t="s">
        <v>79</v>
      </c>
      <c r="D485" t="s">
        <v>172</v>
      </c>
      <c r="E485" t="s">
        <v>48</v>
      </c>
      <c r="F485" t="s">
        <v>49</v>
      </c>
      <c r="G485">
        <v>50</v>
      </c>
      <c r="H485">
        <v>53.71</v>
      </c>
      <c r="I485">
        <v>2685.5</v>
      </c>
      <c r="J485">
        <v>197.89</v>
      </c>
      <c r="K485">
        <v>487.61</v>
      </c>
      <c r="L485" t="s">
        <v>28</v>
      </c>
      <c r="M485" t="s">
        <v>35</v>
      </c>
      <c r="N485" t="s">
        <v>173</v>
      </c>
      <c r="O485">
        <f t="shared" si="7"/>
        <v>18.157140197356174</v>
      </c>
    </row>
    <row r="486" spans="1:15" x14ac:dyDescent="0.3">
      <c r="A486" t="s">
        <v>943</v>
      </c>
      <c r="B486" t="s">
        <v>944</v>
      </c>
      <c r="C486" t="s">
        <v>597</v>
      </c>
      <c r="D486" t="s">
        <v>107</v>
      </c>
      <c r="E486" t="s">
        <v>69</v>
      </c>
      <c r="F486" t="s">
        <v>59</v>
      </c>
      <c r="G486">
        <v>24</v>
      </c>
      <c r="H486">
        <v>18.62</v>
      </c>
      <c r="I486">
        <v>446.88</v>
      </c>
      <c r="J486">
        <v>26.91</v>
      </c>
      <c r="K486">
        <v>47.97</v>
      </c>
      <c r="L486" t="s">
        <v>28</v>
      </c>
      <c r="M486" t="s">
        <v>29</v>
      </c>
      <c r="N486" t="s">
        <v>108</v>
      </c>
      <c r="O486">
        <f t="shared" si="7"/>
        <v>10.734425349087003</v>
      </c>
    </row>
    <row r="487" spans="1:15" x14ac:dyDescent="0.3">
      <c r="A487" t="s">
        <v>945</v>
      </c>
      <c r="B487" t="s">
        <v>544</v>
      </c>
      <c r="C487" t="s">
        <v>257</v>
      </c>
      <c r="D487" t="s">
        <v>82</v>
      </c>
      <c r="E487" t="s">
        <v>48</v>
      </c>
      <c r="F487" t="s">
        <v>49</v>
      </c>
      <c r="G487">
        <v>10</v>
      </c>
      <c r="H487">
        <v>49.15</v>
      </c>
      <c r="I487">
        <v>491.5</v>
      </c>
      <c r="J487">
        <v>13.3</v>
      </c>
      <c r="K487">
        <v>78.2</v>
      </c>
      <c r="L487" t="s">
        <v>42</v>
      </c>
      <c r="M487" t="s">
        <v>35</v>
      </c>
      <c r="N487" t="s">
        <v>66</v>
      </c>
      <c r="O487">
        <f t="shared" si="7"/>
        <v>15.910478128179045</v>
      </c>
    </row>
    <row r="488" spans="1:15" x14ac:dyDescent="0.3">
      <c r="A488" t="s">
        <v>946</v>
      </c>
      <c r="B488" t="s">
        <v>947</v>
      </c>
      <c r="C488" t="s">
        <v>295</v>
      </c>
      <c r="D488" t="s">
        <v>63</v>
      </c>
      <c r="E488" t="s">
        <v>48</v>
      </c>
      <c r="F488" t="s">
        <v>49</v>
      </c>
      <c r="G488">
        <v>42</v>
      </c>
      <c r="H488">
        <v>50.96</v>
      </c>
      <c r="I488">
        <v>2140.3200000000002</v>
      </c>
      <c r="J488">
        <v>127.85</v>
      </c>
      <c r="K488">
        <v>332.47</v>
      </c>
      <c r="L488" t="s">
        <v>20</v>
      </c>
      <c r="M488" t="s">
        <v>29</v>
      </c>
      <c r="N488" t="s">
        <v>66</v>
      </c>
      <c r="O488">
        <f t="shared" si="7"/>
        <v>15.533658518352397</v>
      </c>
    </row>
    <row r="489" spans="1:15" x14ac:dyDescent="0.3">
      <c r="A489" t="s">
        <v>948</v>
      </c>
      <c r="B489" t="s">
        <v>949</v>
      </c>
      <c r="C489" t="s">
        <v>290</v>
      </c>
      <c r="D489" t="s">
        <v>63</v>
      </c>
      <c r="E489" t="s">
        <v>64</v>
      </c>
      <c r="F489" t="s">
        <v>65</v>
      </c>
      <c r="G489">
        <v>39</v>
      </c>
      <c r="H489">
        <v>37.46</v>
      </c>
      <c r="I489">
        <v>1460.94</v>
      </c>
      <c r="J489">
        <v>82.25</v>
      </c>
      <c r="K489">
        <v>403.69</v>
      </c>
      <c r="L489" t="s">
        <v>42</v>
      </c>
      <c r="M489" t="s">
        <v>21</v>
      </c>
      <c r="N489" t="s">
        <v>66</v>
      </c>
      <c r="O489">
        <f t="shared" si="7"/>
        <v>27.632209399427765</v>
      </c>
    </row>
    <row r="490" spans="1:15" x14ac:dyDescent="0.3">
      <c r="A490" t="s">
        <v>950</v>
      </c>
      <c r="B490" t="s">
        <v>951</v>
      </c>
      <c r="C490" t="s">
        <v>140</v>
      </c>
      <c r="D490" t="s">
        <v>137</v>
      </c>
      <c r="E490" t="s">
        <v>73</v>
      </c>
      <c r="F490" t="s">
        <v>41</v>
      </c>
      <c r="G490">
        <v>7</v>
      </c>
      <c r="H490">
        <v>20.2</v>
      </c>
      <c r="I490">
        <v>141.4</v>
      </c>
      <c r="J490">
        <v>4.3499999999999996</v>
      </c>
      <c r="K490">
        <v>47.8</v>
      </c>
      <c r="L490" t="s">
        <v>28</v>
      </c>
      <c r="M490" t="s">
        <v>35</v>
      </c>
      <c r="N490" t="s">
        <v>30</v>
      </c>
      <c r="O490">
        <f t="shared" si="7"/>
        <v>33.804809052333802</v>
      </c>
    </row>
    <row r="491" spans="1:15" x14ac:dyDescent="0.3">
      <c r="A491" t="s">
        <v>952</v>
      </c>
      <c r="B491" t="s">
        <v>953</v>
      </c>
      <c r="C491" t="s">
        <v>163</v>
      </c>
      <c r="D491" t="s">
        <v>47</v>
      </c>
      <c r="E491" t="s">
        <v>73</v>
      </c>
      <c r="F491" t="s">
        <v>41</v>
      </c>
      <c r="G491">
        <v>18</v>
      </c>
      <c r="H491">
        <v>18.63</v>
      </c>
      <c r="I491">
        <v>335.34</v>
      </c>
      <c r="J491">
        <v>26.18</v>
      </c>
      <c r="K491">
        <v>79.66</v>
      </c>
      <c r="L491" t="s">
        <v>28</v>
      </c>
      <c r="M491" t="s">
        <v>21</v>
      </c>
      <c r="N491" t="s">
        <v>22</v>
      </c>
      <c r="O491">
        <f t="shared" si="7"/>
        <v>23.754994930518279</v>
      </c>
    </row>
    <row r="492" spans="1:15" x14ac:dyDescent="0.3">
      <c r="A492" t="s">
        <v>954</v>
      </c>
      <c r="B492" t="s">
        <v>955</v>
      </c>
      <c r="C492" t="s">
        <v>429</v>
      </c>
      <c r="D492" t="s">
        <v>172</v>
      </c>
      <c r="E492" t="s">
        <v>58</v>
      </c>
      <c r="F492" t="s">
        <v>59</v>
      </c>
      <c r="G492">
        <v>12</v>
      </c>
      <c r="H492">
        <v>27.08</v>
      </c>
      <c r="I492">
        <v>324.95999999999998</v>
      </c>
      <c r="J492">
        <v>15.59</v>
      </c>
      <c r="K492">
        <v>39.369999999999997</v>
      </c>
      <c r="L492" t="s">
        <v>28</v>
      </c>
      <c r="M492" t="s">
        <v>35</v>
      </c>
      <c r="N492" t="s">
        <v>173</v>
      </c>
      <c r="O492">
        <f t="shared" si="7"/>
        <v>12.115337272279666</v>
      </c>
    </row>
    <row r="493" spans="1:15" x14ac:dyDescent="0.3">
      <c r="A493" t="s">
        <v>956</v>
      </c>
      <c r="B493" t="s">
        <v>119</v>
      </c>
      <c r="C493" t="s">
        <v>466</v>
      </c>
      <c r="D493" t="s">
        <v>137</v>
      </c>
      <c r="E493" t="s">
        <v>64</v>
      </c>
      <c r="F493" t="s">
        <v>65</v>
      </c>
      <c r="G493">
        <v>50</v>
      </c>
      <c r="H493">
        <v>32.21</v>
      </c>
      <c r="I493">
        <v>1610.5</v>
      </c>
      <c r="J493">
        <v>32.68</v>
      </c>
      <c r="K493">
        <v>327.82</v>
      </c>
      <c r="L493" t="s">
        <v>28</v>
      </c>
      <c r="M493" t="s">
        <v>35</v>
      </c>
      <c r="N493" t="s">
        <v>30</v>
      </c>
      <c r="O493">
        <f t="shared" si="7"/>
        <v>20.355169202111146</v>
      </c>
    </row>
    <row r="494" spans="1:15" x14ac:dyDescent="0.3">
      <c r="A494" t="s">
        <v>957</v>
      </c>
      <c r="B494" t="s">
        <v>735</v>
      </c>
      <c r="C494" t="s">
        <v>613</v>
      </c>
      <c r="D494" t="s">
        <v>107</v>
      </c>
      <c r="E494" t="s">
        <v>73</v>
      </c>
      <c r="F494" t="s">
        <v>41</v>
      </c>
      <c r="G494">
        <v>49</v>
      </c>
      <c r="H494">
        <v>20.59</v>
      </c>
      <c r="I494">
        <v>1008.91</v>
      </c>
      <c r="J494">
        <v>78.03</v>
      </c>
      <c r="K494">
        <v>306.13</v>
      </c>
      <c r="L494" t="s">
        <v>28</v>
      </c>
      <c r="M494" t="s">
        <v>35</v>
      </c>
      <c r="N494" t="s">
        <v>108</v>
      </c>
      <c r="O494">
        <f t="shared" si="7"/>
        <v>30.342647015095498</v>
      </c>
    </row>
    <row r="495" spans="1:15" x14ac:dyDescent="0.3">
      <c r="A495" t="s">
        <v>958</v>
      </c>
      <c r="B495" t="s">
        <v>959</v>
      </c>
      <c r="C495" t="s">
        <v>106</v>
      </c>
      <c r="D495" t="s">
        <v>34</v>
      </c>
      <c r="E495" t="s">
        <v>54</v>
      </c>
      <c r="F495" t="s">
        <v>41</v>
      </c>
      <c r="G495">
        <v>22</v>
      </c>
      <c r="H495">
        <v>28.63</v>
      </c>
      <c r="I495">
        <v>629.86</v>
      </c>
      <c r="J495">
        <v>29.08</v>
      </c>
      <c r="K495">
        <v>160.78</v>
      </c>
      <c r="L495" t="s">
        <v>28</v>
      </c>
      <c r="M495" t="s">
        <v>29</v>
      </c>
      <c r="N495" t="s">
        <v>30</v>
      </c>
      <c r="O495">
        <f t="shared" si="7"/>
        <v>25.5263074333979</v>
      </c>
    </row>
    <row r="496" spans="1:15" x14ac:dyDescent="0.3">
      <c r="A496" t="s">
        <v>960</v>
      </c>
      <c r="B496" t="s">
        <v>961</v>
      </c>
      <c r="C496" t="s">
        <v>257</v>
      </c>
      <c r="D496" t="s">
        <v>63</v>
      </c>
      <c r="E496" t="s">
        <v>48</v>
      </c>
      <c r="F496" t="s">
        <v>49</v>
      </c>
      <c r="G496">
        <v>11</v>
      </c>
      <c r="H496">
        <v>56.12</v>
      </c>
      <c r="I496">
        <v>617.32000000000005</v>
      </c>
      <c r="J496">
        <v>38.26</v>
      </c>
      <c r="K496">
        <v>139.06</v>
      </c>
      <c r="L496" t="s">
        <v>28</v>
      </c>
      <c r="M496" t="s">
        <v>29</v>
      </c>
      <c r="N496" t="s">
        <v>66</v>
      </c>
      <c r="O496">
        <f t="shared" si="7"/>
        <v>22.526404457979652</v>
      </c>
    </row>
    <row r="497" spans="1:24" x14ac:dyDescent="0.3">
      <c r="A497" t="s">
        <v>962</v>
      </c>
      <c r="B497" t="s">
        <v>963</v>
      </c>
      <c r="C497" t="s">
        <v>46</v>
      </c>
      <c r="D497" t="s">
        <v>17</v>
      </c>
      <c r="E497" t="s">
        <v>64</v>
      </c>
      <c r="F497" t="s">
        <v>65</v>
      </c>
      <c r="G497">
        <v>2</v>
      </c>
      <c r="H497">
        <v>30.88</v>
      </c>
      <c r="I497">
        <v>61.76</v>
      </c>
      <c r="J497">
        <v>4.42</v>
      </c>
      <c r="K497">
        <v>7.34</v>
      </c>
      <c r="L497" t="s">
        <v>42</v>
      </c>
      <c r="M497" t="s">
        <v>29</v>
      </c>
      <c r="N497" t="s">
        <v>22</v>
      </c>
      <c r="O497">
        <f t="shared" si="7"/>
        <v>11.884715025906736</v>
      </c>
    </row>
    <row r="498" spans="1:24" x14ac:dyDescent="0.3">
      <c r="A498" t="s">
        <v>964</v>
      </c>
      <c r="B498" t="s">
        <v>965</v>
      </c>
      <c r="C498" t="s">
        <v>438</v>
      </c>
      <c r="D498" t="s">
        <v>172</v>
      </c>
      <c r="E498" t="s">
        <v>48</v>
      </c>
      <c r="F498" t="s">
        <v>49</v>
      </c>
      <c r="G498">
        <v>34</v>
      </c>
      <c r="H498">
        <v>63.8</v>
      </c>
      <c r="I498">
        <v>2169.1999999999998</v>
      </c>
      <c r="J498">
        <v>69.650000000000006</v>
      </c>
      <c r="K498">
        <v>739.55</v>
      </c>
      <c r="L498" t="s">
        <v>28</v>
      </c>
      <c r="M498" t="s">
        <v>35</v>
      </c>
      <c r="N498" t="s">
        <v>173</v>
      </c>
      <c r="O498">
        <f t="shared" si="7"/>
        <v>34.093214088143093</v>
      </c>
    </row>
    <row r="499" spans="1:24" x14ac:dyDescent="0.3">
      <c r="A499" t="s">
        <v>966</v>
      </c>
      <c r="B499" t="s">
        <v>379</v>
      </c>
      <c r="C499" t="s">
        <v>248</v>
      </c>
      <c r="D499" t="s">
        <v>53</v>
      </c>
      <c r="E499" t="s">
        <v>103</v>
      </c>
      <c r="F499" t="s">
        <v>59</v>
      </c>
      <c r="G499">
        <v>50</v>
      </c>
      <c r="H499">
        <v>44.61</v>
      </c>
      <c r="I499">
        <v>2230.5</v>
      </c>
      <c r="J499">
        <v>91.32</v>
      </c>
      <c r="K499">
        <v>739.18</v>
      </c>
      <c r="L499" t="s">
        <v>42</v>
      </c>
      <c r="M499" t="s">
        <v>21</v>
      </c>
      <c r="N499" t="s">
        <v>22</v>
      </c>
      <c r="O499">
        <f t="shared" si="7"/>
        <v>33.139654785922431</v>
      </c>
    </row>
    <row r="500" spans="1:24" x14ac:dyDescent="0.3">
      <c r="A500" t="s">
        <v>967</v>
      </c>
      <c r="B500" t="s">
        <v>968</v>
      </c>
      <c r="C500" t="s">
        <v>85</v>
      </c>
      <c r="D500" t="s">
        <v>89</v>
      </c>
      <c r="E500" t="s">
        <v>73</v>
      </c>
      <c r="F500" t="s">
        <v>41</v>
      </c>
      <c r="G500">
        <v>14</v>
      </c>
      <c r="H500">
        <v>18.61</v>
      </c>
      <c r="I500">
        <v>260.54000000000002</v>
      </c>
      <c r="J500">
        <v>5.39</v>
      </c>
      <c r="K500">
        <v>76.650000000000006</v>
      </c>
      <c r="L500" t="s">
        <v>28</v>
      </c>
      <c r="M500" t="s">
        <v>35</v>
      </c>
      <c r="N500" t="s">
        <v>66</v>
      </c>
      <c r="O500">
        <f t="shared" si="7"/>
        <v>29.41966684578184</v>
      </c>
    </row>
    <row r="501" spans="1:24" x14ac:dyDescent="0.3">
      <c r="A501" t="s">
        <v>969</v>
      </c>
      <c r="B501" t="s">
        <v>783</v>
      </c>
      <c r="C501" t="s">
        <v>422</v>
      </c>
      <c r="D501" t="s">
        <v>26</v>
      </c>
      <c r="E501" t="s">
        <v>69</v>
      </c>
      <c r="F501" t="s">
        <v>59</v>
      </c>
      <c r="G501">
        <v>7</v>
      </c>
      <c r="H501">
        <v>24.61</v>
      </c>
      <c r="I501">
        <v>172.27</v>
      </c>
      <c r="J501">
        <v>9.64</v>
      </c>
      <c r="K501">
        <v>54.13</v>
      </c>
      <c r="L501" t="s">
        <v>42</v>
      </c>
      <c r="M501" t="s">
        <v>35</v>
      </c>
      <c r="N501" t="s">
        <v>30</v>
      </c>
      <c r="O501">
        <f t="shared" si="7"/>
        <v>31.421605619086318</v>
      </c>
    </row>
    <row r="504" spans="1:24" x14ac:dyDescent="0.3">
      <c r="X504">
        <v>26</v>
      </c>
    </row>
    <row r="505" spans="1:24" x14ac:dyDescent="0.3">
      <c r="X505">
        <v>43</v>
      </c>
    </row>
  </sheetData>
  <autoFilter ref="D1:N501" xr:uid="{D01D6803-340A-40F5-9368-81E07579EB53}"/>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6DB63E-0766-423D-943D-6E00586B688B}">
  <dimension ref="A1:E501"/>
  <sheetViews>
    <sheetView workbookViewId="0">
      <selection activeCell="H6" sqref="H6"/>
    </sheetView>
  </sheetViews>
  <sheetFormatPr defaultRowHeight="14.4" x14ac:dyDescent="0.3"/>
  <cols>
    <col min="2" max="2" width="17.21875" bestFit="1" customWidth="1"/>
  </cols>
  <sheetData>
    <row r="1" spans="1:5" x14ac:dyDescent="0.3">
      <c r="A1" t="s">
        <v>1025</v>
      </c>
      <c r="B1" s="14" t="s">
        <v>2</v>
      </c>
      <c r="C1" s="14" t="s">
        <v>1002</v>
      </c>
      <c r="D1" s="14" t="s">
        <v>1003</v>
      </c>
      <c r="E1" s="14" t="s">
        <v>1004</v>
      </c>
    </row>
    <row r="2" spans="1:5" x14ac:dyDescent="0.3">
      <c r="A2">
        <v>1</v>
      </c>
      <c r="B2" t="s">
        <v>16</v>
      </c>
      <c r="C2" t="s">
        <v>1005</v>
      </c>
      <c r="D2" t="s">
        <v>1015</v>
      </c>
      <c r="E2" t="str">
        <f>_xlfn.CONCAT(LEFT(C2,2),LEFT(D2,2),A2)</f>
        <v>EmSm1</v>
      </c>
    </row>
    <row r="3" spans="1:5" x14ac:dyDescent="0.3">
      <c r="A3">
        <v>2</v>
      </c>
      <c r="B3" t="s">
        <v>25</v>
      </c>
      <c r="C3" t="s">
        <v>1006</v>
      </c>
      <c r="D3" t="s">
        <v>1016</v>
      </c>
      <c r="E3" t="str">
        <f>_xlfn.CONCAT(LEFT(C3,2),LEFT(D3,2),A3)</f>
        <v>LaBr2</v>
      </c>
    </row>
    <row r="4" spans="1:5" x14ac:dyDescent="0.3">
      <c r="A4">
        <v>3</v>
      </c>
      <c r="B4" t="s">
        <v>33</v>
      </c>
      <c r="C4" t="s">
        <v>1007</v>
      </c>
      <c r="D4" t="s">
        <v>1017</v>
      </c>
      <c r="E4" t="str">
        <f t="shared" ref="E4:E67" si="0">_xlfn.CONCAT(LEFT(C4,2),LEFT(D4,2),A4)</f>
        <v>JoDa3</v>
      </c>
    </row>
    <row r="5" spans="1:5" x14ac:dyDescent="0.3">
      <c r="A5">
        <v>4</v>
      </c>
      <c r="B5" t="s">
        <v>38</v>
      </c>
      <c r="C5" t="s">
        <v>1008</v>
      </c>
      <c r="D5" t="s">
        <v>1018</v>
      </c>
      <c r="E5" t="str">
        <f t="shared" si="0"/>
        <v>DaMi4</v>
      </c>
    </row>
    <row r="6" spans="1:5" x14ac:dyDescent="0.3">
      <c r="A6">
        <v>5</v>
      </c>
      <c r="B6" t="s">
        <v>46</v>
      </c>
      <c r="C6" t="s">
        <v>1009</v>
      </c>
      <c r="D6" t="s">
        <v>1019</v>
      </c>
      <c r="E6" t="str">
        <f t="shared" si="0"/>
        <v>EmJo5</v>
      </c>
    </row>
    <row r="7" spans="1:5" x14ac:dyDescent="0.3">
      <c r="A7">
        <v>6</v>
      </c>
      <c r="B7" t="s">
        <v>52</v>
      </c>
      <c r="C7" t="s">
        <v>1010</v>
      </c>
      <c r="D7" t="s">
        <v>1019</v>
      </c>
      <c r="E7" t="str">
        <f t="shared" si="0"/>
        <v>MiJo6</v>
      </c>
    </row>
    <row r="8" spans="1:5" x14ac:dyDescent="0.3">
      <c r="A8">
        <v>7</v>
      </c>
      <c r="B8" t="s">
        <v>57</v>
      </c>
      <c r="C8" t="s">
        <v>1009</v>
      </c>
      <c r="D8" t="s">
        <v>1020</v>
      </c>
      <c r="E8" t="str">
        <f t="shared" si="0"/>
        <v>EmHe7</v>
      </c>
    </row>
    <row r="9" spans="1:5" x14ac:dyDescent="0.3">
      <c r="A9">
        <v>8</v>
      </c>
      <c r="B9" t="s">
        <v>62</v>
      </c>
      <c r="C9" t="s">
        <v>1007</v>
      </c>
      <c r="D9" t="s">
        <v>1018</v>
      </c>
      <c r="E9" t="str">
        <f t="shared" si="0"/>
        <v>JoMi8</v>
      </c>
    </row>
    <row r="10" spans="1:5" x14ac:dyDescent="0.3">
      <c r="A10">
        <v>9</v>
      </c>
      <c r="B10" t="s">
        <v>33</v>
      </c>
      <c r="C10" t="s">
        <v>1007</v>
      </c>
      <c r="D10" t="s">
        <v>1017</v>
      </c>
      <c r="E10" t="str">
        <f t="shared" si="0"/>
        <v>JoDa9</v>
      </c>
    </row>
    <row r="11" spans="1:5" x14ac:dyDescent="0.3">
      <c r="A11">
        <v>10</v>
      </c>
      <c r="B11" t="s">
        <v>72</v>
      </c>
      <c r="C11" t="s">
        <v>1006</v>
      </c>
      <c r="D11" t="s">
        <v>1021</v>
      </c>
      <c r="E11" t="str">
        <f t="shared" si="0"/>
        <v>LaMa10</v>
      </c>
    </row>
    <row r="12" spans="1:5" x14ac:dyDescent="0.3">
      <c r="A12">
        <v>11</v>
      </c>
      <c r="B12" t="s">
        <v>76</v>
      </c>
      <c r="C12" t="s">
        <v>1011</v>
      </c>
      <c r="D12" t="s">
        <v>1021</v>
      </c>
      <c r="E12" t="str">
        <f t="shared" si="0"/>
        <v>JaMa11</v>
      </c>
    </row>
    <row r="13" spans="1:5" x14ac:dyDescent="0.3">
      <c r="A13">
        <v>12</v>
      </c>
      <c r="B13" t="s">
        <v>79</v>
      </c>
      <c r="C13" t="s">
        <v>1011</v>
      </c>
      <c r="D13" t="s">
        <v>1017</v>
      </c>
      <c r="E13" t="str">
        <f t="shared" si="0"/>
        <v>JaDa12</v>
      </c>
    </row>
    <row r="14" spans="1:5" x14ac:dyDescent="0.3">
      <c r="A14">
        <v>13</v>
      </c>
      <c r="B14" t="s">
        <v>76</v>
      </c>
      <c r="C14" t="s">
        <v>1011</v>
      </c>
      <c r="D14" t="s">
        <v>1021</v>
      </c>
      <c r="E14" t="str">
        <f t="shared" si="0"/>
        <v>JaMa13</v>
      </c>
    </row>
    <row r="15" spans="1:5" x14ac:dyDescent="0.3">
      <c r="A15">
        <v>14</v>
      </c>
      <c r="B15" t="s">
        <v>85</v>
      </c>
      <c r="C15" t="s">
        <v>1009</v>
      </c>
      <c r="D15" t="s">
        <v>1015</v>
      </c>
      <c r="E15" t="str">
        <f t="shared" si="0"/>
        <v>EmSm14</v>
      </c>
    </row>
    <row r="16" spans="1:5" x14ac:dyDescent="0.3">
      <c r="A16">
        <v>15</v>
      </c>
      <c r="B16" t="s">
        <v>88</v>
      </c>
      <c r="C16" t="s">
        <v>1012</v>
      </c>
      <c r="D16" t="s">
        <v>1017</v>
      </c>
      <c r="E16" t="str">
        <f t="shared" si="0"/>
        <v>SaDa15</v>
      </c>
    </row>
    <row r="17" spans="1:5" x14ac:dyDescent="0.3">
      <c r="A17">
        <v>16</v>
      </c>
      <c r="B17" t="s">
        <v>92</v>
      </c>
      <c r="C17" t="s">
        <v>1013</v>
      </c>
      <c r="D17" t="s">
        <v>1022</v>
      </c>
      <c r="E17" t="str">
        <f t="shared" si="0"/>
        <v>DaWi16</v>
      </c>
    </row>
    <row r="18" spans="1:5" x14ac:dyDescent="0.3">
      <c r="A18">
        <v>17</v>
      </c>
      <c r="B18" t="s">
        <v>76</v>
      </c>
      <c r="C18" t="s">
        <v>1011</v>
      </c>
      <c r="D18" t="s">
        <v>1021</v>
      </c>
      <c r="E18" t="str">
        <f t="shared" si="0"/>
        <v>JaMa17</v>
      </c>
    </row>
    <row r="19" spans="1:5" x14ac:dyDescent="0.3">
      <c r="A19">
        <v>18</v>
      </c>
      <c r="B19" t="s">
        <v>52</v>
      </c>
      <c r="C19" t="s">
        <v>1010</v>
      </c>
      <c r="D19" t="s">
        <v>1019</v>
      </c>
      <c r="E19" t="str">
        <f t="shared" si="0"/>
        <v>MiJo18</v>
      </c>
    </row>
    <row r="20" spans="1:5" x14ac:dyDescent="0.3">
      <c r="A20">
        <v>19</v>
      </c>
      <c r="B20" t="s">
        <v>100</v>
      </c>
      <c r="C20" t="s">
        <v>1012</v>
      </c>
      <c r="D20" t="s">
        <v>1015</v>
      </c>
      <c r="E20" t="str">
        <f t="shared" si="0"/>
        <v>SaSm19</v>
      </c>
    </row>
    <row r="21" spans="1:5" x14ac:dyDescent="0.3">
      <c r="A21">
        <v>20</v>
      </c>
      <c r="B21" t="s">
        <v>46</v>
      </c>
      <c r="C21" t="s">
        <v>1009</v>
      </c>
      <c r="D21" t="s">
        <v>1019</v>
      </c>
      <c r="E21" t="str">
        <f t="shared" si="0"/>
        <v>EmJo20</v>
      </c>
    </row>
    <row r="22" spans="1:5" x14ac:dyDescent="0.3">
      <c r="A22">
        <v>21</v>
      </c>
      <c r="B22" t="s">
        <v>106</v>
      </c>
      <c r="C22" t="s">
        <v>1010</v>
      </c>
      <c r="D22" t="s">
        <v>1018</v>
      </c>
      <c r="E22" t="str">
        <f t="shared" si="0"/>
        <v>MiMi21</v>
      </c>
    </row>
    <row r="23" spans="1:5" x14ac:dyDescent="0.3">
      <c r="A23">
        <v>22</v>
      </c>
      <c r="B23" t="s">
        <v>111</v>
      </c>
      <c r="C23" t="s">
        <v>1013</v>
      </c>
      <c r="D23" t="s">
        <v>1017</v>
      </c>
      <c r="E23" t="str">
        <f t="shared" si="0"/>
        <v>DaDa22</v>
      </c>
    </row>
    <row r="24" spans="1:5" x14ac:dyDescent="0.3">
      <c r="A24">
        <v>23</v>
      </c>
      <c r="B24" t="s">
        <v>114</v>
      </c>
      <c r="C24" t="s">
        <v>1012</v>
      </c>
      <c r="D24" t="s">
        <v>1019</v>
      </c>
      <c r="E24" t="str">
        <f t="shared" si="0"/>
        <v>SaJo23</v>
      </c>
    </row>
    <row r="25" spans="1:5" x14ac:dyDescent="0.3">
      <c r="A25">
        <v>24</v>
      </c>
      <c r="B25" t="s">
        <v>117</v>
      </c>
      <c r="C25" t="s">
        <v>1014</v>
      </c>
      <c r="D25" t="s">
        <v>1020</v>
      </c>
      <c r="E25" t="str">
        <f t="shared" si="0"/>
        <v>SoHe24</v>
      </c>
    </row>
    <row r="26" spans="1:5" x14ac:dyDescent="0.3">
      <c r="A26">
        <v>25</v>
      </c>
      <c r="B26" t="s">
        <v>120</v>
      </c>
      <c r="C26" t="s">
        <v>1008</v>
      </c>
      <c r="D26" t="s">
        <v>1022</v>
      </c>
      <c r="E26" t="str">
        <f t="shared" si="0"/>
        <v>DaWi25</v>
      </c>
    </row>
    <row r="27" spans="1:5" x14ac:dyDescent="0.3">
      <c r="A27">
        <v>26</v>
      </c>
      <c r="B27" t="s">
        <v>123</v>
      </c>
      <c r="C27" t="s">
        <v>1010</v>
      </c>
      <c r="D27" t="s">
        <v>1021</v>
      </c>
      <c r="E27" t="str">
        <f t="shared" si="0"/>
        <v>MiMa26</v>
      </c>
    </row>
    <row r="28" spans="1:5" x14ac:dyDescent="0.3">
      <c r="A28">
        <v>27</v>
      </c>
      <c r="B28" t="s">
        <v>38</v>
      </c>
      <c r="C28" t="s">
        <v>1008</v>
      </c>
      <c r="D28" t="s">
        <v>1018</v>
      </c>
      <c r="E28" t="str">
        <f t="shared" si="0"/>
        <v>DaMi27</v>
      </c>
    </row>
    <row r="29" spans="1:5" x14ac:dyDescent="0.3">
      <c r="A29">
        <v>28</v>
      </c>
      <c r="B29" t="s">
        <v>128</v>
      </c>
      <c r="C29" t="s">
        <v>1006</v>
      </c>
      <c r="D29" t="s">
        <v>1023</v>
      </c>
      <c r="E29" t="str">
        <f t="shared" si="0"/>
        <v>LaJo28</v>
      </c>
    </row>
    <row r="30" spans="1:5" x14ac:dyDescent="0.3">
      <c r="A30">
        <v>29</v>
      </c>
      <c r="B30" t="s">
        <v>131</v>
      </c>
      <c r="C30" t="s">
        <v>1010</v>
      </c>
      <c r="D30" t="s">
        <v>1016</v>
      </c>
      <c r="E30" t="str">
        <f t="shared" si="0"/>
        <v>MiBr29</v>
      </c>
    </row>
    <row r="31" spans="1:5" x14ac:dyDescent="0.3">
      <c r="A31">
        <v>30</v>
      </c>
      <c r="B31" t="s">
        <v>92</v>
      </c>
      <c r="C31" t="s">
        <v>1013</v>
      </c>
      <c r="D31" t="s">
        <v>1022</v>
      </c>
      <c r="E31" t="str">
        <f t="shared" si="0"/>
        <v>DaWi30</v>
      </c>
    </row>
    <row r="32" spans="1:5" x14ac:dyDescent="0.3">
      <c r="A32">
        <v>31</v>
      </c>
      <c r="B32" t="s">
        <v>136</v>
      </c>
      <c r="C32" t="s">
        <v>1006</v>
      </c>
      <c r="D32" t="s">
        <v>1018</v>
      </c>
      <c r="E32" t="str">
        <f t="shared" si="0"/>
        <v>LaMi31</v>
      </c>
    </row>
    <row r="33" spans="1:5" x14ac:dyDescent="0.3">
      <c r="A33">
        <v>32</v>
      </c>
      <c r="B33" t="s">
        <v>140</v>
      </c>
      <c r="C33" t="s">
        <v>1014</v>
      </c>
      <c r="D33" t="s">
        <v>1024</v>
      </c>
      <c r="E33" t="str">
        <f t="shared" si="0"/>
        <v>SoGa32</v>
      </c>
    </row>
    <row r="34" spans="1:5" x14ac:dyDescent="0.3">
      <c r="A34">
        <v>33</v>
      </c>
      <c r="B34" t="s">
        <v>143</v>
      </c>
      <c r="C34" t="s">
        <v>1014</v>
      </c>
      <c r="D34" t="s">
        <v>1015</v>
      </c>
      <c r="E34" t="str">
        <f t="shared" si="0"/>
        <v>SoSm33</v>
      </c>
    </row>
    <row r="35" spans="1:5" x14ac:dyDescent="0.3">
      <c r="A35">
        <v>34</v>
      </c>
      <c r="B35" t="s">
        <v>38</v>
      </c>
      <c r="C35" t="s">
        <v>1008</v>
      </c>
      <c r="D35" t="s">
        <v>1018</v>
      </c>
      <c r="E35" t="str">
        <f t="shared" si="0"/>
        <v>DaMi34</v>
      </c>
    </row>
    <row r="36" spans="1:5" x14ac:dyDescent="0.3">
      <c r="A36">
        <v>35</v>
      </c>
      <c r="B36" t="s">
        <v>148</v>
      </c>
      <c r="C36" t="s">
        <v>1007</v>
      </c>
      <c r="D36" t="s">
        <v>1020</v>
      </c>
      <c r="E36" t="str">
        <f t="shared" si="0"/>
        <v>JoHe35</v>
      </c>
    </row>
    <row r="37" spans="1:5" x14ac:dyDescent="0.3">
      <c r="A37">
        <v>36</v>
      </c>
      <c r="B37" t="s">
        <v>151</v>
      </c>
      <c r="C37" t="s">
        <v>1006</v>
      </c>
      <c r="D37" t="s">
        <v>1022</v>
      </c>
      <c r="E37" t="str">
        <f t="shared" si="0"/>
        <v>LaWi36</v>
      </c>
    </row>
    <row r="38" spans="1:5" x14ac:dyDescent="0.3">
      <c r="A38">
        <v>37</v>
      </c>
      <c r="B38" t="s">
        <v>154</v>
      </c>
      <c r="C38" t="s">
        <v>1013</v>
      </c>
      <c r="D38" t="s">
        <v>1018</v>
      </c>
      <c r="E38" t="str">
        <f t="shared" si="0"/>
        <v>DaMi37</v>
      </c>
    </row>
    <row r="39" spans="1:5" x14ac:dyDescent="0.3">
      <c r="A39">
        <v>38</v>
      </c>
      <c r="B39" t="s">
        <v>157</v>
      </c>
      <c r="C39" t="s">
        <v>1010</v>
      </c>
      <c r="D39" t="s">
        <v>1015</v>
      </c>
      <c r="E39" t="str">
        <f t="shared" si="0"/>
        <v>MiSm38</v>
      </c>
    </row>
    <row r="40" spans="1:5" x14ac:dyDescent="0.3">
      <c r="A40">
        <v>39</v>
      </c>
      <c r="B40" t="s">
        <v>160</v>
      </c>
      <c r="C40" t="s">
        <v>1012</v>
      </c>
      <c r="D40" t="s">
        <v>1021</v>
      </c>
      <c r="E40" t="str">
        <f t="shared" si="0"/>
        <v>SaMa39</v>
      </c>
    </row>
    <row r="41" spans="1:5" x14ac:dyDescent="0.3">
      <c r="A41">
        <v>40</v>
      </c>
      <c r="B41" t="s">
        <v>163</v>
      </c>
      <c r="C41" t="s">
        <v>1005</v>
      </c>
      <c r="D41" t="s">
        <v>1024</v>
      </c>
      <c r="E41" t="str">
        <f t="shared" si="0"/>
        <v>EmGa40</v>
      </c>
    </row>
    <row r="42" spans="1:5" x14ac:dyDescent="0.3">
      <c r="A42">
        <v>41</v>
      </c>
      <c r="B42" t="s">
        <v>166</v>
      </c>
      <c r="C42" t="s">
        <v>1009</v>
      </c>
      <c r="D42" t="s">
        <v>1022</v>
      </c>
      <c r="E42" t="str">
        <f t="shared" si="0"/>
        <v>EmWi41</v>
      </c>
    </row>
    <row r="43" spans="1:5" x14ac:dyDescent="0.3">
      <c r="A43">
        <v>42</v>
      </c>
      <c r="B43" t="s">
        <v>85</v>
      </c>
      <c r="C43" t="s">
        <v>1009</v>
      </c>
      <c r="D43" t="s">
        <v>1015</v>
      </c>
      <c r="E43" t="str">
        <f t="shared" si="0"/>
        <v>EmSm42</v>
      </c>
    </row>
    <row r="44" spans="1:5" x14ac:dyDescent="0.3">
      <c r="A44">
        <v>43</v>
      </c>
      <c r="B44" t="s">
        <v>88</v>
      </c>
      <c r="C44" t="s">
        <v>1012</v>
      </c>
      <c r="D44" t="s">
        <v>1017</v>
      </c>
      <c r="E44" t="str">
        <f t="shared" si="0"/>
        <v>SaDa43</v>
      </c>
    </row>
    <row r="45" spans="1:5" x14ac:dyDescent="0.3">
      <c r="A45">
        <v>44</v>
      </c>
      <c r="B45" t="s">
        <v>79</v>
      </c>
      <c r="C45" t="s">
        <v>1011</v>
      </c>
      <c r="D45" t="s">
        <v>1017</v>
      </c>
      <c r="E45" t="str">
        <f t="shared" si="0"/>
        <v>JaDa44</v>
      </c>
    </row>
    <row r="46" spans="1:5" x14ac:dyDescent="0.3">
      <c r="A46">
        <v>45</v>
      </c>
      <c r="B46" t="s">
        <v>151</v>
      </c>
      <c r="C46" t="s">
        <v>1006</v>
      </c>
      <c r="D46" t="s">
        <v>1022</v>
      </c>
      <c r="E46" t="str">
        <f t="shared" si="0"/>
        <v>LaWi45</v>
      </c>
    </row>
    <row r="47" spans="1:5" x14ac:dyDescent="0.3">
      <c r="A47">
        <v>46</v>
      </c>
      <c r="B47" t="s">
        <v>46</v>
      </c>
      <c r="C47" t="s">
        <v>1009</v>
      </c>
      <c r="D47" t="s">
        <v>1019</v>
      </c>
      <c r="E47" t="str">
        <f t="shared" si="0"/>
        <v>EmJo46</v>
      </c>
    </row>
    <row r="48" spans="1:5" x14ac:dyDescent="0.3">
      <c r="A48">
        <v>47</v>
      </c>
      <c r="B48" t="s">
        <v>114</v>
      </c>
      <c r="C48" t="s">
        <v>1012</v>
      </c>
      <c r="D48" t="s">
        <v>1019</v>
      </c>
      <c r="E48" t="str">
        <f t="shared" si="0"/>
        <v>SaJo47</v>
      </c>
    </row>
    <row r="49" spans="1:5" x14ac:dyDescent="0.3">
      <c r="A49">
        <v>48</v>
      </c>
      <c r="B49" t="s">
        <v>182</v>
      </c>
      <c r="C49" t="s">
        <v>1008</v>
      </c>
      <c r="D49" t="s">
        <v>1015</v>
      </c>
      <c r="E49" t="str">
        <f t="shared" si="0"/>
        <v>DaSm48</v>
      </c>
    </row>
    <row r="50" spans="1:5" x14ac:dyDescent="0.3">
      <c r="A50">
        <v>49</v>
      </c>
      <c r="B50" t="s">
        <v>185</v>
      </c>
      <c r="C50" t="s">
        <v>1013</v>
      </c>
      <c r="D50" t="s">
        <v>1023</v>
      </c>
      <c r="E50" t="str">
        <f t="shared" si="0"/>
        <v>DaJo49</v>
      </c>
    </row>
    <row r="51" spans="1:5" x14ac:dyDescent="0.3">
      <c r="A51">
        <v>50</v>
      </c>
      <c r="B51" t="s">
        <v>188</v>
      </c>
      <c r="C51" t="s">
        <v>1012</v>
      </c>
      <c r="D51" t="s">
        <v>1016</v>
      </c>
      <c r="E51" t="str">
        <f t="shared" si="0"/>
        <v>SaBr50</v>
      </c>
    </row>
    <row r="52" spans="1:5" x14ac:dyDescent="0.3">
      <c r="A52">
        <v>51</v>
      </c>
      <c r="B52" t="s">
        <v>157</v>
      </c>
      <c r="C52" t="s">
        <v>1010</v>
      </c>
      <c r="D52" t="s">
        <v>1015</v>
      </c>
      <c r="E52" t="str">
        <f t="shared" si="0"/>
        <v>MiSm51</v>
      </c>
    </row>
    <row r="53" spans="1:5" x14ac:dyDescent="0.3">
      <c r="A53">
        <v>52</v>
      </c>
      <c r="B53" t="s">
        <v>193</v>
      </c>
      <c r="C53" t="s">
        <v>1009</v>
      </c>
      <c r="D53" t="s">
        <v>1021</v>
      </c>
      <c r="E53" t="str">
        <f t="shared" si="0"/>
        <v>EmMa52</v>
      </c>
    </row>
    <row r="54" spans="1:5" x14ac:dyDescent="0.3">
      <c r="A54">
        <v>53</v>
      </c>
      <c r="B54" t="s">
        <v>79</v>
      </c>
      <c r="C54" t="s">
        <v>1011</v>
      </c>
      <c r="D54" t="s">
        <v>1017</v>
      </c>
      <c r="E54" t="str">
        <f t="shared" si="0"/>
        <v>JaDa53</v>
      </c>
    </row>
    <row r="55" spans="1:5" x14ac:dyDescent="0.3">
      <c r="A55">
        <v>54</v>
      </c>
      <c r="B55" t="s">
        <v>198</v>
      </c>
      <c r="C55" t="s">
        <v>1008</v>
      </c>
      <c r="D55" t="s">
        <v>1019</v>
      </c>
      <c r="E55" t="str">
        <f t="shared" si="0"/>
        <v>DaJo54</v>
      </c>
    </row>
    <row r="56" spans="1:5" x14ac:dyDescent="0.3">
      <c r="A56">
        <v>55</v>
      </c>
      <c r="B56" t="s">
        <v>201</v>
      </c>
      <c r="C56" t="s">
        <v>1014</v>
      </c>
      <c r="D56" t="s">
        <v>1023</v>
      </c>
      <c r="E56" t="str">
        <f t="shared" si="0"/>
        <v>SoJo55</v>
      </c>
    </row>
    <row r="57" spans="1:5" x14ac:dyDescent="0.3">
      <c r="A57">
        <v>56</v>
      </c>
      <c r="B57" t="s">
        <v>204</v>
      </c>
      <c r="C57" t="s">
        <v>1012</v>
      </c>
      <c r="D57" t="s">
        <v>1024</v>
      </c>
      <c r="E57" t="str">
        <f t="shared" si="0"/>
        <v>SaGa56</v>
      </c>
    </row>
    <row r="58" spans="1:5" x14ac:dyDescent="0.3">
      <c r="A58">
        <v>57</v>
      </c>
      <c r="B58" t="s">
        <v>79</v>
      </c>
      <c r="C58" t="s">
        <v>1011</v>
      </c>
      <c r="D58" t="s">
        <v>1017</v>
      </c>
      <c r="E58" t="str">
        <f t="shared" si="0"/>
        <v>JaDa57</v>
      </c>
    </row>
    <row r="59" spans="1:5" x14ac:dyDescent="0.3">
      <c r="A59">
        <v>58</v>
      </c>
      <c r="B59" t="s">
        <v>204</v>
      </c>
      <c r="C59" t="s">
        <v>1012</v>
      </c>
      <c r="D59" t="s">
        <v>1024</v>
      </c>
      <c r="E59" t="str">
        <f t="shared" si="0"/>
        <v>SaGa58</v>
      </c>
    </row>
    <row r="60" spans="1:5" x14ac:dyDescent="0.3">
      <c r="A60">
        <v>59</v>
      </c>
      <c r="B60" t="s">
        <v>212</v>
      </c>
      <c r="C60" t="s">
        <v>1010</v>
      </c>
      <c r="D60" t="s">
        <v>1022</v>
      </c>
      <c r="E60" t="str">
        <f t="shared" si="0"/>
        <v>MiWi59</v>
      </c>
    </row>
    <row r="61" spans="1:5" x14ac:dyDescent="0.3">
      <c r="A61">
        <v>60</v>
      </c>
      <c r="B61" t="s">
        <v>215</v>
      </c>
      <c r="C61" t="s">
        <v>1011</v>
      </c>
      <c r="D61" t="s">
        <v>1020</v>
      </c>
      <c r="E61" t="str">
        <f t="shared" si="0"/>
        <v>JaHe60</v>
      </c>
    </row>
    <row r="62" spans="1:5" x14ac:dyDescent="0.3">
      <c r="A62">
        <v>61</v>
      </c>
      <c r="B62" t="s">
        <v>218</v>
      </c>
      <c r="C62" t="s">
        <v>1012</v>
      </c>
      <c r="D62" t="s">
        <v>1022</v>
      </c>
      <c r="E62" t="str">
        <f t="shared" si="0"/>
        <v>SaWi61</v>
      </c>
    </row>
    <row r="63" spans="1:5" x14ac:dyDescent="0.3">
      <c r="A63">
        <v>62</v>
      </c>
      <c r="B63" t="s">
        <v>114</v>
      </c>
      <c r="C63" t="s">
        <v>1012</v>
      </c>
      <c r="D63" t="s">
        <v>1019</v>
      </c>
      <c r="E63" t="str">
        <f t="shared" si="0"/>
        <v>SaJo62</v>
      </c>
    </row>
    <row r="64" spans="1:5" x14ac:dyDescent="0.3">
      <c r="A64">
        <v>63</v>
      </c>
      <c r="B64" t="s">
        <v>223</v>
      </c>
      <c r="C64" t="s">
        <v>1005</v>
      </c>
      <c r="D64" t="s">
        <v>1022</v>
      </c>
      <c r="E64" t="str">
        <f t="shared" si="0"/>
        <v>EmWi63</v>
      </c>
    </row>
    <row r="65" spans="1:5" x14ac:dyDescent="0.3">
      <c r="A65">
        <v>64</v>
      </c>
      <c r="B65" t="s">
        <v>198</v>
      </c>
      <c r="C65" t="s">
        <v>1008</v>
      </c>
      <c r="D65" t="s">
        <v>1019</v>
      </c>
      <c r="E65" t="str">
        <f t="shared" si="0"/>
        <v>DaJo64</v>
      </c>
    </row>
    <row r="66" spans="1:5" x14ac:dyDescent="0.3">
      <c r="A66">
        <v>65</v>
      </c>
      <c r="B66" t="s">
        <v>201</v>
      </c>
      <c r="C66" t="s">
        <v>1014</v>
      </c>
      <c r="D66" t="s">
        <v>1023</v>
      </c>
      <c r="E66" t="str">
        <f t="shared" si="0"/>
        <v>SoJo65</v>
      </c>
    </row>
    <row r="67" spans="1:5" x14ac:dyDescent="0.3">
      <c r="A67">
        <v>66</v>
      </c>
      <c r="B67" t="s">
        <v>57</v>
      </c>
      <c r="C67" t="s">
        <v>1009</v>
      </c>
      <c r="D67" t="s">
        <v>1020</v>
      </c>
      <c r="E67" t="str">
        <f t="shared" si="0"/>
        <v>EmHe66</v>
      </c>
    </row>
    <row r="68" spans="1:5" x14ac:dyDescent="0.3">
      <c r="A68">
        <v>67</v>
      </c>
      <c r="B68" t="s">
        <v>232</v>
      </c>
      <c r="C68" t="s">
        <v>1008</v>
      </c>
      <c r="D68" t="s">
        <v>1016</v>
      </c>
      <c r="E68" t="str">
        <f t="shared" ref="E68:E131" si="1">_xlfn.CONCAT(LEFT(C68,2),LEFT(D68,2),A68)</f>
        <v>DaBr67</v>
      </c>
    </row>
    <row r="69" spans="1:5" x14ac:dyDescent="0.3">
      <c r="A69">
        <v>68</v>
      </c>
      <c r="B69" t="s">
        <v>235</v>
      </c>
      <c r="C69" t="s">
        <v>1008</v>
      </c>
      <c r="D69" t="s">
        <v>1021</v>
      </c>
      <c r="E69" t="str">
        <f t="shared" si="1"/>
        <v>DaMa68</v>
      </c>
    </row>
    <row r="70" spans="1:5" x14ac:dyDescent="0.3">
      <c r="A70">
        <v>69</v>
      </c>
      <c r="B70" t="s">
        <v>238</v>
      </c>
      <c r="C70" t="s">
        <v>1010</v>
      </c>
      <c r="D70" t="s">
        <v>1023</v>
      </c>
      <c r="E70" t="str">
        <f t="shared" si="1"/>
        <v>MiJo69</v>
      </c>
    </row>
    <row r="71" spans="1:5" x14ac:dyDescent="0.3">
      <c r="A71">
        <v>70</v>
      </c>
      <c r="B71" t="s">
        <v>117</v>
      </c>
      <c r="C71" t="s">
        <v>1014</v>
      </c>
      <c r="D71" t="s">
        <v>1020</v>
      </c>
      <c r="E71" t="str">
        <f t="shared" si="1"/>
        <v>SoHe70</v>
      </c>
    </row>
    <row r="72" spans="1:5" x14ac:dyDescent="0.3">
      <c r="A72">
        <v>71</v>
      </c>
      <c r="B72" t="s">
        <v>243</v>
      </c>
      <c r="C72" t="s">
        <v>1010</v>
      </c>
      <c r="D72" t="s">
        <v>1024</v>
      </c>
      <c r="E72" t="str">
        <f t="shared" si="1"/>
        <v>MiGa71</v>
      </c>
    </row>
    <row r="73" spans="1:5" x14ac:dyDescent="0.3">
      <c r="A73">
        <v>72</v>
      </c>
      <c r="B73" t="s">
        <v>114</v>
      </c>
      <c r="C73" t="s">
        <v>1012</v>
      </c>
      <c r="D73" t="s">
        <v>1019</v>
      </c>
      <c r="E73" t="str">
        <f t="shared" si="1"/>
        <v>SaJo72</v>
      </c>
    </row>
    <row r="74" spans="1:5" x14ac:dyDescent="0.3">
      <c r="A74">
        <v>73</v>
      </c>
      <c r="B74" t="s">
        <v>248</v>
      </c>
      <c r="C74" t="s">
        <v>1013</v>
      </c>
      <c r="D74" t="s">
        <v>1015</v>
      </c>
      <c r="E74" t="str">
        <f t="shared" si="1"/>
        <v>DaSm73</v>
      </c>
    </row>
    <row r="75" spans="1:5" x14ac:dyDescent="0.3">
      <c r="A75">
        <v>74</v>
      </c>
      <c r="B75" t="s">
        <v>252</v>
      </c>
      <c r="C75" t="s">
        <v>1014</v>
      </c>
      <c r="D75" t="s">
        <v>1018</v>
      </c>
      <c r="E75" t="str">
        <f t="shared" si="1"/>
        <v>SoMi74</v>
      </c>
    </row>
    <row r="76" spans="1:5" x14ac:dyDescent="0.3">
      <c r="A76">
        <v>75</v>
      </c>
      <c r="B76" t="s">
        <v>255</v>
      </c>
      <c r="C76" t="s">
        <v>1006</v>
      </c>
      <c r="D76" t="s">
        <v>1024</v>
      </c>
      <c r="E76" t="str">
        <f t="shared" si="1"/>
        <v>LaGa75</v>
      </c>
    </row>
    <row r="77" spans="1:5" x14ac:dyDescent="0.3">
      <c r="A77">
        <v>76</v>
      </c>
      <c r="B77" t="s">
        <v>257</v>
      </c>
      <c r="C77" t="s">
        <v>1010</v>
      </c>
      <c r="D77" t="s">
        <v>1017</v>
      </c>
      <c r="E77" t="str">
        <f t="shared" si="1"/>
        <v>MiDa76</v>
      </c>
    </row>
    <row r="78" spans="1:5" x14ac:dyDescent="0.3">
      <c r="A78">
        <v>77</v>
      </c>
      <c r="B78" t="s">
        <v>257</v>
      </c>
      <c r="C78" t="s">
        <v>1010</v>
      </c>
      <c r="D78" t="s">
        <v>1017</v>
      </c>
      <c r="E78" t="str">
        <f t="shared" si="1"/>
        <v>MiDa77</v>
      </c>
    </row>
    <row r="79" spans="1:5" x14ac:dyDescent="0.3">
      <c r="A79">
        <v>78</v>
      </c>
      <c r="B79" t="s">
        <v>255</v>
      </c>
      <c r="C79" t="s">
        <v>1006</v>
      </c>
      <c r="D79" t="s">
        <v>1024</v>
      </c>
      <c r="E79" t="str">
        <f t="shared" si="1"/>
        <v>LaGa78</v>
      </c>
    </row>
    <row r="80" spans="1:5" x14ac:dyDescent="0.3">
      <c r="A80">
        <v>79</v>
      </c>
      <c r="B80" t="s">
        <v>252</v>
      </c>
      <c r="C80" t="s">
        <v>1014</v>
      </c>
      <c r="D80" t="s">
        <v>1018</v>
      </c>
      <c r="E80" t="str">
        <f t="shared" si="1"/>
        <v>SoMi79</v>
      </c>
    </row>
    <row r="81" spans="1:5" x14ac:dyDescent="0.3">
      <c r="A81">
        <v>80</v>
      </c>
      <c r="B81" t="s">
        <v>25</v>
      </c>
      <c r="C81" t="s">
        <v>1006</v>
      </c>
      <c r="D81" t="s">
        <v>1016</v>
      </c>
      <c r="E81" t="str">
        <f t="shared" si="1"/>
        <v>LaBr80</v>
      </c>
    </row>
    <row r="82" spans="1:5" x14ac:dyDescent="0.3">
      <c r="A82">
        <v>81</v>
      </c>
      <c r="B82" t="s">
        <v>268</v>
      </c>
      <c r="C82" t="s">
        <v>1009</v>
      </c>
      <c r="D82" t="s">
        <v>1017</v>
      </c>
      <c r="E82" t="str">
        <f t="shared" si="1"/>
        <v>EmDa81</v>
      </c>
    </row>
    <row r="83" spans="1:5" x14ac:dyDescent="0.3">
      <c r="A83">
        <v>82</v>
      </c>
      <c r="B83" t="s">
        <v>157</v>
      </c>
      <c r="C83" t="s">
        <v>1010</v>
      </c>
      <c r="D83" t="s">
        <v>1015</v>
      </c>
      <c r="E83" t="str">
        <f t="shared" si="1"/>
        <v>MiSm82</v>
      </c>
    </row>
    <row r="84" spans="1:5" x14ac:dyDescent="0.3">
      <c r="A84">
        <v>83</v>
      </c>
      <c r="B84" t="s">
        <v>111</v>
      </c>
      <c r="C84" t="s">
        <v>1013</v>
      </c>
      <c r="D84" t="s">
        <v>1017</v>
      </c>
      <c r="E84" t="str">
        <f t="shared" si="1"/>
        <v>DaDa83</v>
      </c>
    </row>
    <row r="85" spans="1:5" x14ac:dyDescent="0.3">
      <c r="A85">
        <v>84</v>
      </c>
      <c r="B85" t="s">
        <v>274</v>
      </c>
      <c r="C85" t="s">
        <v>1006</v>
      </c>
      <c r="D85" t="s">
        <v>1020</v>
      </c>
      <c r="E85" t="str">
        <f t="shared" si="1"/>
        <v>LaHe84</v>
      </c>
    </row>
    <row r="86" spans="1:5" x14ac:dyDescent="0.3">
      <c r="A86">
        <v>85</v>
      </c>
      <c r="B86" t="s">
        <v>274</v>
      </c>
      <c r="C86" t="s">
        <v>1006</v>
      </c>
      <c r="D86" t="s">
        <v>1020</v>
      </c>
      <c r="E86" t="str">
        <f t="shared" si="1"/>
        <v>LaHe85</v>
      </c>
    </row>
    <row r="87" spans="1:5" x14ac:dyDescent="0.3">
      <c r="A87">
        <v>86</v>
      </c>
      <c r="B87" t="s">
        <v>182</v>
      </c>
      <c r="C87" t="s">
        <v>1008</v>
      </c>
      <c r="D87" t="s">
        <v>1015</v>
      </c>
      <c r="E87" t="str">
        <f t="shared" si="1"/>
        <v>DaSm86</v>
      </c>
    </row>
    <row r="88" spans="1:5" x14ac:dyDescent="0.3">
      <c r="A88">
        <v>87</v>
      </c>
      <c r="B88" t="s">
        <v>140</v>
      </c>
      <c r="C88" t="s">
        <v>1014</v>
      </c>
      <c r="D88" t="s">
        <v>1024</v>
      </c>
      <c r="E88" t="str">
        <f t="shared" si="1"/>
        <v>SoGa87</v>
      </c>
    </row>
    <row r="89" spans="1:5" x14ac:dyDescent="0.3">
      <c r="A89">
        <v>88</v>
      </c>
      <c r="B89" t="s">
        <v>188</v>
      </c>
      <c r="C89" t="s">
        <v>1012</v>
      </c>
      <c r="D89" t="s">
        <v>1016</v>
      </c>
      <c r="E89" t="str">
        <f t="shared" si="1"/>
        <v>SaBr88</v>
      </c>
    </row>
    <row r="90" spans="1:5" x14ac:dyDescent="0.3">
      <c r="A90">
        <v>89</v>
      </c>
      <c r="B90" t="s">
        <v>284</v>
      </c>
      <c r="C90" t="s">
        <v>1005</v>
      </c>
      <c r="D90" t="s">
        <v>1017</v>
      </c>
      <c r="E90" t="str">
        <f t="shared" si="1"/>
        <v>EmDa89</v>
      </c>
    </row>
    <row r="91" spans="1:5" x14ac:dyDescent="0.3">
      <c r="A91">
        <v>90</v>
      </c>
      <c r="B91" t="s">
        <v>46</v>
      </c>
      <c r="C91" t="s">
        <v>1009</v>
      </c>
      <c r="D91" t="s">
        <v>1019</v>
      </c>
      <c r="E91" t="str">
        <f t="shared" si="1"/>
        <v>EmJo90</v>
      </c>
    </row>
    <row r="92" spans="1:5" x14ac:dyDescent="0.3">
      <c r="A92">
        <v>91</v>
      </c>
      <c r="B92" t="s">
        <v>288</v>
      </c>
      <c r="C92" t="s">
        <v>1011</v>
      </c>
      <c r="D92" t="s">
        <v>1019</v>
      </c>
      <c r="E92" t="str">
        <f t="shared" si="1"/>
        <v>JaJo91</v>
      </c>
    </row>
    <row r="93" spans="1:5" x14ac:dyDescent="0.3">
      <c r="A93">
        <v>92</v>
      </c>
      <c r="B93" t="s">
        <v>290</v>
      </c>
      <c r="C93" t="s">
        <v>1014</v>
      </c>
      <c r="D93" t="s">
        <v>1021</v>
      </c>
      <c r="E93" t="str">
        <f t="shared" si="1"/>
        <v>SoMa92</v>
      </c>
    </row>
    <row r="94" spans="1:5" x14ac:dyDescent="0.3">
      <c r="A94">
        <v>93</v>
      </c>
      <c r="B94" t="s">
        <v>284</v>
      </c>
      <c r="C94" t="s">
        <v>1005</v>
      </c>
      <c r="D94" t="s">
        <v>1017</v>
      </c>
      <c r="E94" t="str">
        <f t="shared" si="1"/>
        <v>EmDa93</v>
      </c>
    </row>
    <row r="95" spans="1:5" x14ac:dyDescent="0.3">
      <c r="A95">
        <v>94</v>
      </c>
      <c r="B95" t="s">
        <v>295</v>
      </c>
      <c r="C95" t="s">
        <v>1012</v>
      </c>
      <c r="D95" t="s">
        <v>1018</v>
      </c>
      <c r="E95" t="str">
        <f t="shared" si="1"/>
        <v>SaMi94</v>
      </c>
    </row>
    <row r="96" spans="1:5" x14ac:dyDescent="0.3">
      <c r="A96">
        <v>95</v>
      </c>
      <c r="B96" t="s">
        <v>298</v>
      </c>
      <c r="C96" t="s">
        <v>1011</v>
      </c>
      <c r="D96" t="s">
        <v>1022</v>
      </c>
      <c r="E96" t="str">
        <f t="shared" si="1"/>
        <v>JaWi95</v>
      </c>
    </row>
    <row r="97" spans="1:5" x14ac:dyDescent="0.3">
      <c r="A97">
        <v>96</v>
      </c>
      <c r="B97" t="s">
        <v>301</v>
      </c>
      <c r="C97" t="s">
        <v>1009</v>
      </c>
      <c r="D97" t="s">
        <v>1024</v>
      </c>
      <c r="E97" t="str">
        <f t="shared" si="1"/>
        <v>EmGa96</v>
      </c>
    </row>
    <row r="98" spans="1:5" x14ac:dyDescent="0.3">
      <c r="A98">
        <v>97</v>
      </c>
      <c r="B98" t="s">
        <v>111</v>
      </c>
      <c r="C98" t="s">
        <v>1013</v>
      </c>
      <c r="D98" t="s">
        <v>1017</v>
      </c>
      <c r="E98" t="str">
        <f t="shared" si="1"/>
        <v>DaDa97</v>
      </c>
    </row>
    <row r="99" spans="1:5" x14ac:dyDescent="0.3">
      <c r="A99">
        <v>98</v>
      </c>
      <c r="B99" t="s">
        <v>157</v>
      </c>
      <c r="C99" t="s">
        <v>1010</v>
      </c>
      <c r="D99" t="s">
        <v>1015</v>
      </c>
      <c r="E99" t="str">
        <f t="shared" si="1"/>
        <v>MiSm98</v>
      </c>
    </row>
    <row r="100" spans="1:5" x14ac:dyDescent="0.3">
      <c r="A100">
        <v>99</v>
      </c>
      <c r="B100" t="s">
        <v>268</v>
      </c>
      <c r="C100" t="s">
        <v>1009</v>
      </c>
      <c r="D100" t="s">
        <v>1017</v>
      </c>
      <c r="E100" t="str">
        <f t="shared" si="1"/>
        <v>EmDa99</v>
      </c>
    </row>
    <row r="101" spans="1:5" x14ac:dyDescent="0.3">
      <c r="A101">
        <v>100</v>
      </c>
      <c r="B101" t="s">
        <v>235</v>
      </c>
      <c r="C101" t="s">
        <v>1008</v>
      </c>
      <c r="D101" t="s">
        <v>1021</v>
      </c>
      <c r="E101" t="str">
        <f t="shared" si="1"/>
        <v>DaMa100</v>
      </c>
    </row>
    <row r="102" spans="1:5" x14ac:dyDescent="0.3">
      <c r="A102">
        <v>101</v>
      </c>
      <c r="B102" t="s">
        <v>274</v>
      </c>
      <c r="C102" t="s">
        <v>1006</v>
      </c>
      <c r="D102" t="s">
        <v>1020</v>
      </c>
      <c r="E102" t="str">
        <f t="shared" si="1"/>
        <v>LaHe101</v>
      </c>
    </row>
    <row r="103" spans="1:5" x14ac:dyDescent="0.3">
      <c r="A103">
        <v>102</v>
      </c>
      <c r="B103" t="s">
        <v>128</v>
      </c>
      <c r="C103" t="s">
        <v>1006</v>
      </c>
      <c r="D103" t="s">
        <v>1023</v>
      </c>
      <c r="E103" t="str">
        <f t="shared" si="1"/>
        <v>LaJo102</v>
      </c>
    </row>
    <row r="104" spans="1:5" x14ac:dyDescent="0.3">
      <c r="A104">
        <v>103</v>
      </c>
      <c r="B104" t="s">
        <v>268</v>
      </c>
      <c r="C104" t="s">
        <v>1009</v>
      </c>
      <c r="D104" t="s">
        <v>1017</v>
      </c>
      <c r="E104" t="str">
        <f t="shared" si="1"/>
        <v>EmDa103</v>
      </c>
    </row>
    <row r="105" spans="1:5" x14ac:dyDescent="0.3">
      <c r="A105">
        <v>104</v>
      </c>
      <c r="B105" t="s">
        <v>163</v>
      </c>
      <c r="C105" t="s">
        <v>1005</v>
      </c>
      <c r="D105" t="s">
        <v>1024</v>
      </c>
      <c r="E105" t="str">
        <f t="shared" si="1"/>
        <v>EmGa104</v>
      </c>
    </row>
    <row r="106" spans="1:5" x14ac:dyDescent="0.3">
      <c r="A106">
        <v>105</v>
      </c>
      <c r="B106" t="s">
        <v>319</v>
      </c>
      <c r="C106" t="s">
        <v>1013</v>
      </c>
      <c r="D106" t="s">
        <v>1019</v>
      </c>
      <c r="E106" t="str">
        <f t="shared" si="1"/>
        <v>DaJo105</v>
      </c>
    </row>
    <row r="107" spans="1:5" x14ac:dyDescent="0.3">
      <c r="A107">
        <v>106</v>
      </c>
      <c r="B107" t="s">
        <v>72</v>
      </c>
      <c r="C107" t="s">
        <v>1006</v>
      </c>
      <c r="D107" t="s">
        <v>1021</v>
      </c>
      <c r="E107" t="str">
        <f t="shared" si="1"/>
        <v>LaMa106</v>
      </c>
    </row>
    <row r="108" spans="1:5" x14ac:dyDescent="0.3">
      <c r="A108">
        <v>107</v>
      </c>
      <c r="B108" t="s">
        <v>16</v>
      </c>
      <c r="C108" t="s">
        <v>1005</v>
      </c>
      <c r="D108" t="s">
        <v>1015</v>
      </c>
      <c r="E108" t="str">
        <f t="shared" si="1"/>
        <v>EmSm107</v>
      </c>
    </row>
    <row r="109" spans="1:5" x14ac:dyDescent="0.3">
      <c r="A109">
        <v>108</v>
      </c>
      <c r="B109" t="s">
        <v>117</v>
      </c>
      <c r="C109" t="s">
        <v>1014</v>
      </c>
      <c r="D109" t="s">
        <v>1020</v>
      </c>
      <c r="E109" t="str">
        <f t="shared" si="1"/>
        <v>SoHe108</v>
      </c>
    </row>
    <row r="110" spans="1:5" x14ac:dyDescent="0.3">
      <c r="A110">
        <v>109</v>
      </c>
      <c r="B110" t="s">
        <v>327</v>
      </c>
      <c r="C110" t="s">
        <v>1005</v>
      </c>
      <c r="D110" t="s">
        <v>1018</v>
      </c>
      <c r="E110" t="str">
        <f t="shared" si="1"/>
        <v>EmMi109</v>
      </c>
    </row>
    <row r="111" spans="1:5" x14ac:dyDescent="0.3">
      <c r="A111">
        <v>110</v>
      </c>
      <c r="B111" t="s">
        <v>268</v>
      </c>
      <c r="C111" t="s">
        <v>1009</v>
      </c>
      <c r="D111" t="s">
        <v>1017</v>
      </c>
      <c r="E111" t="str">
        <f t="shared" si="1"/>
        <v>EmDa110</v>
      </c>
    </row>
    <row r="112" spans="1:5" x14ac:dyDescent="0.3">
      <c r="A112">
        <v>111</v>
      </c>
      <c r="B112" t="s">
        <v>238</v>
      </c>
      <c r="C112" t="s">
        <v>1010</v>
      </c>
      <c r="D112" t="s">
        <v>1023</v>
      </c>
      <c r="E112" t="str">
        <f t="shared" si="1"/>
        <v>MiJo111</v>
      </c>
    </row>
    <row r="113" spans="1:5" x14ac:dyDescent="0.3">
      <c r="A113">
        <v>112</v>
      </c>
      <c r="B113" t="s">
        <v>143</v>
      </c>
      <c r="C113" t="s">
        <v>1014</v>
      </c>
      <c r="D113" t="s">
        <v>1015</v>
      </c>
      <c r="E113" t="str">
        <f t="shared" si="1"/>
        <v>SoSm112</v>
      </c>
    </row>
    <row r="114" spans="1:5" x14ac:dyDescent="0.3">
      <c r="A114">
        <v>113</v>
      </c>
      <c r="B114" t="s">
        <v>336</v>
      </c>
      <c r="C114" t="s">
        <v>1005</v>
      </c>
      <c r="D114" t="s">
        <v>1021</v>
      </c>
      <c r="E114" t="str">
        <f t="shared" si="1"/>
        <v>EmMa113</v>
      </c>
    </row>
    <row r="115" spans="1:5" x14ac:dyDescent="0.3">
      <c r="A115">
        <v>114</v>
      </c>
      <c r="B115" t="s">
        <v>339</v>
      </c>
      <c r="C115" t="s">
        <v>1008</v>
      </c>
      <c r="D115" t="s">
        <v>1020</v>
      </c>
      <c r="E115" t="str">
        <f t="shared" si="1"/>
        <v>DaHe114</v>
      </c>
    </row>
    <row r="116" spans="1:5" x14ac:dyDescent="0.3">
      <c r="A116">
        <v>115</v>
      </c>
      <c r="B116" t="s">
        <v>148</v>
      </c>
      <c r="C116" t="s">
        <v>1007</v>
      </c>
      <c r="D116" t="s">
        <v>1020</v>
      </c>
      <c r="E116" t="str">
        <f t="shared" si="1"/>
        <v>JoHe115</v>
      </c>
    </row>
    <row r="117" spans="1:5" x14ac:dyDescent="0.3">
      <c r="A117">
        <v>116</v>
      </c>
      <c r="B117" t="s">
        <v>62</v>
      </c>
      <c r="C117" t="s">
        <v>1007</v>
      </c>
      <c r="D117" t="s">
        <v>1018</v>
      </c>
      <c r="E117" t="str">
        <f t="shared" si="1"/>
        <v>JoMi116</v>
      </c>
    </row>
    <row r="118" spans="1:5" x14ac:dyDescent="0.3">
      <c r="A118">
        <v>117</v>
      </c>
      <c r="B118" t="s">
        <v>301</v>
      </c>
      <c r="C118" t="s">
        <v>1009</v>
      </c>
      <c r="D118" t="s">
        <v>1024</v>
      </c>
      <c r="E118" t="str">
        <f t="shared" si="1"/>
        <v>EmGa117</v>
      </c>
    </row>
    <row r="119" spans="1:5" x14ac:dyDescent="0.3">
      <c r="A119">
        <v>118</v>
      </c>
      <c r="B119" t="s">
        <v>188</v>
      </c>
      <c r="C119" t="s">
        <v>1012</v>
      </c>
      <c r="D119" t="s">
        <v>1016</v>
      </c>
      <c r="E119" t="str">
        <f t="shared" si="1"/>
        <v>SaBr118</v>
      </c>
    </row>
    <row r="120" spans="1:5" x14ac:dyDescent="0.3">
      <c r="A120">
        <v>119</v>
      </c>
      <c r="B120" t="s">
        <v>193</v>
      </c>
      <c r="C120" t="s">
        <v>1009</v>
      </c>
      <c r="D120" t="s">
        <v>1021</v>
      </c>
      <c r="E120" t="str">
        <f t="shared" si="1"/>
        <v>EmMa119</v>
      </c>
    </row>
    <row r="121" spans="1:5" x14ac:dyDescent="0.3">
      <c r="A121">
        <v>120</v>
      </c>
      <c r="B121" t="s">
        <v>348</v>
      </c>
      <c r="C121" t="s">
        <v>1013</v>
      </c>
      <c r="D121" t="s">
        <v>1020</v>
      </c>
      <c r="E121" t="str">
        <f t="shared" si="1"/>
        <v>DaHe120</v>
      </c>
    </row>
    <row r="122" spans="1:5" x14ac:dyDescent="0.3">
      <c r="A122">
        <v>121</v>
      </c>
      <c r="B122" t="s">
        <v>52</v>
      </c>
      <c r="C122" t="s">
        <v>1010</v>
      </c>
      <c r="D122" t="s">
        <v>1019</v>
      </c>
      <c r="E122" t="str">
        <f t="shared" si="1"/>
        <v>MiJo121</v>
      </c>
    </row>
    <row r="123" spans="1:5" x14ac:dyDescent="0.3">
      <c r="A123">
        <v>122</v>
      </c>
      <c r="B123" t="s">
        <v>274</v>
      </c>
      <c r="C123" t="s">
        <v>1006</v>
      </c>
      <c r="D123" t="s">
        <v>1020</v>
      </c>
      <c r="E123" t="str">
        <f t="shared" si="1"/>
        <v>LaHe122</v>
      </c>
    </row>
    <row r="124" spans="1:5" x14ac:dyDescent="0.3">
      <c r="A124">
        <v>123</v>
      </c>
      <c r="B124" t="s">
        <v>100</v>
      </c>
      <c r="C124" t="s">
        <v>1012</v>
      </c>
      <c r="D124" t="s">
        <v>1015</v>
      </c>
      <c r="E124" t="str">
        <f t="shared" si="1"/>
        <v>SaSm123</v>
      </c>
    </row>
    <row r="125" spans="1:5" x14ac:dyDescent="0.3">
      <c r="A125">
        <v>124</v>
      </c>
      <c r="B125" t="s">
        <v>284</v>
      </c>
      <c r="C125" t="s">
        <v>1005</v>
      </c>
      <c r="D125" t="s">
        <v>1017</v>
      </c>
      <c r="E125" t="str">
        <f t="shared" si="1"/>
        <v>EmDa124</v>
      </c>
    </row>
    <row r="126" spans="1:5" x14ac:dyDescent="0.3">
      <c r="A126">
        <v>125</v>
      </c>
      <c r="B126" t="s">
        <v>358</v>
      </c>
      <c r="C126" t="s">
        <v>1007</v>
      </c>
      <c r="D126" t="s">
        <v>1021</v>
      </c>
      <c r="E126" t="str">
        <f t="shared" si="1"/>
        <v>JoMa125</v>
      </c>
    </row>
    <row r="127" spans="1:5" x14ac:dyDescent="0.3">
      <c r="A127">
        <v>126</v>
      </c>
      <c r="B127" t="s">
        <v>257</v>
      </c>
      <c r="C127" t="s">
        <v>1010</v>
      </c>
      <c r="D127" t="s">
        <v>1017</v>
      </c>
      <c r="E127" t="str">
        <f t="shared" si="1"/>
        <v>MiDa126</v>
      </c>
    </row>
    <row r="128" spans="1:5" x14ac:dyDescent="0.3">
      <c r="A128">
        <v>127</v>
      </c>
      <c r="B128" t="s">
        <v>363</v>
      </c>
      <c r="C128" t="s">
        <v>1013</v>
      </c>
      <c r="D128" t="s">
        <v>1024</v>
      </c>
      <c r="E128" t="str">
        <f t="shared" si="1"/>
        <v>DaGa127</v>
      </c>
    </row>
    <row r="129" spans="1:5" x14ac:dyDescent="0.3">
      <c r="A129">
        <v>128</v>
      </c>
      <c r="B129" t="s">
        <v>38</v>
      </c>
      <c r="C129" t="s">
        <v>1008</v>
      </c>
      <c r="D129" t="s">
        <v>1018</v>
      </c>
      <c r="E129" t="str">
        <f t="shared" si="1"/>
        <v>DaMi128</v>
      </c>
    </row>
    <row r="130" spans="1:5" x14ac:dyDescent="0.3">
      <c r="A130">
        <v>129</v>
      </c>
      <c r="B130" t="s">
        <v>295</v>
      </c>
      <c r="C130" t="s">
        <v>1012</v>
      </c>
      <c r="D130" t="s">
        <v>1018</v>
      </c>
      <c r="E130" t="str">
        <f t="shared" si="1"/>
        <v>SaMi129</v>
      </c>
    </row>
    <row r="131" spans="1:5" x14ac:dyDescent="0.3">
      <c r="A131">
        <v>130</v>
      </c>
      <c r="B131" t="s">
        <v>274</v>
      </c>
      <c r="C131" t="s">
        <v>1006</v>
      </c>
      <c r="D131" t="s">
        <v>1020</v>
      </c>
      <c r="E131" t="str">
        <f t="shared" si="1"/>
        <v>LaHe130</v>
      </c>
    </row>
    <row r="132" spans="1:5" x14ac:dyDescent="0.3">
      <c r="A132">
        <v>131</v>
      </c>
      <c r="B132" t="s">
        <v>16</v>
      </c>
      <c r="C132" t="s">
        <v>1005</v>
      </c>
      <c r="D132" t="s">
        <v>1015</v>
      </c>
      <c r="E132" t="str">
        <f t="shared" ref="E132:E195" si="2">_xlfn.CONCAT(LEFT(C132,2),LEFT(D132,2),A132)</f>
        <v>EmSm131</v>
      </c>
    </row>
    <row r="133" spans="1:5" x14ac:dyDescent="0.3">
      <c r="A133">
        <v>132</v>
      </c>
      <c r="B133" t="s">
        <v>215</v>
      </c>
      <c r="C133" t="s">
        <v>1011</v>
      </c>
      <c r="D133" t="s">
        <v>1020</v>
      </c>
      <c r="E133" t="str">
        <f t="shared" si="2"/>
        <v>JaHe132</v>
      </c>
    </row>
    <row r="134" spans="1:5" x14ac:dyDescent="0.3">
      <c r="A134">
        <v>133</v>
      </c>
      <c r="B134" t="s">
        <v>33</v>
      </c>
      <c r="C134" t="s">
        <v>1007</v>
      </c>
      <c r="D134" t="s">
        <v>1017</v>
      </c>
      <c r="E134" t="str">
        <f t="shared" si="2"/>
        <v>JoDa133</v>
      </c>
    </row>
    <row r="135" spans="1:5" x14ac:dyDescent="0.3">
      <c r="A135">
        <v>134</v>
      </c>
      <c r="B135" t="s">
        <v>377</v>
      </c>
      <c r="C135" t="s">
        <v>1011</v>
      </c>
      <c r="D135" t="s">
        <v>1015</v>
      </c>
      <c r="E135" t="str">
        <f t="shared" si="2"/>
        <v>JaSm134</v>
      </c>
    </row>
    <row r="136" spans="1:5" x14ac:dyDescent="0.3">
      <c r="A136">
        <v>135</v>
      </c>
      <c r="B136" t="s">
        <v>154</v>
      </c>
      <c r="C136" t="s">
        <v>1013</v>
      </c>
      <c r="D136" t="s">
        <v>1018</v>
      </c>
      <c r="E136" t="str">
        <f t="shared" si="2"/>
        <v>DaMi135</v>
      </c>
    </row>
    <row r="137" spans="1:5" x14ac:dyDescent="0.3">
      <c r="A137">
        <v>136</v>
      </c>
      <c r="B137" t="s">
        <v>327</v>
      </c>
      <c r="C137" t="s">
        <v>1005</v>
      </c>
      <c r="D137" t="s">
        <v>1018</v>
      </c>
      <c r="E137" t="str">
        <f t="shared" si="2"/>
        <v>EmMi136</v>
      </c>
    </row>
    <row r="138" spans="1:5" x14ac:dyDescent="0.3">
      <c r="A138">
        <v>137</v>
      </c>
      <c r="B138" t="s">
        <v>384</v>
      </c>
      <c r="C138" t="s">
        <v>1005</v>
      </c>
      <c r="D138" t="s">
        <v>1016</v>
      </c>
      <c r="E138" t="str">
        <f t="shared" si="2"/>
        <v>EmBr137</v>
      </c>
    </row>
    <row r="139" spans="1:5" x14ac:dyDescent="0.3">
      <c r="A139">
        <v>138</v>
      </c>
      <c r="B139" t="s">
        <v>157</v>
      </c>
      <c r="C139" t="s">
        <v>1010</v>
      </c>
      <c r="D139" t="s">
        <v>1015</v>
      </c>
      <c r="E139" t="str">
        <f t="shared" si="2"/>
        <v>MiSm138</v>
      </c>
    </row>
    <row r="140" spans="1:5" x14ac:dyDescent="0.3">
      <c r="A140">
        <v>139</v>
      </c>
      <c r="B140" t="s">
        <v>336</v>
      </c>
      <c r="C140" t="s">
        <v>1005</v>
      </c>
      <c r="D140" t="s">
        <v>1021</v>
      </c>
      <c r="E140" t="str">
        <f t="shared" si="2"/>
        <v>EmMa139</v>
      </c>
    </row>
    <row r="141" spans="1:5" x14ac:dyDescent="0.3">
      <c r="A141">
        <v>140</v>
      </c>
      <c r="B141" t="s">
        <v>238</v>
      </c>
      <c r="C141" t="s">
        <v>1010</v>
      </c>
      <c r="D141" t="s">
        <v>1023</v>
      </c>
      <c r="E141" t="str">
        <f t="shared" si="2"/>
        <v>MiJo140</v>
      </c>
    </row>
    <row r="142" spans="1:5" x14ac:dyDescent="0.3">
      <c r="A142">
        <v>141</v>
      </c>
      <c r="B142" t="s">
        <v>235</v>
      </c>
      <c r="C142" t="s">
        <v>1008</v>
      </c>
      <c r="D142" t="s">
        <v>1021</v>
      </c>
      <c r="E142" t="str">
        <f t="shared" si="2"/>
        <v>DaMa141</v>
      </c>
    </row>
    <row r="143" spans="1:5" x14ac:dyDescent="0.3">
      <c r="A143">
        <v>142</v>
      </c>
      <c r="B143" t="s">
        <v>198</v>
      </c>
      <c r="C143" t="s">
        <v>1008</v>
      </c>
      <c r="D143" t="s">
        <v>1019</v>
      </c>
      <c r="E143" t="str">
        <f t="shared" si="2"/>
        <v>DaJo142</v>
      </c>
    </row>
    <row r="144" spans="1:5" x14ac:dyDescent="0.3">
      <c r="A144">
        <v>143</v>
      </c>
      <c r="B144" t="s">
        <v>395</v>
      </c>
      <c r="C144" t="s">
        <v>1011</v>
      </c>
      <c r="D144" t="s">
        <v>1016</v>
      </c>
      <c r="E144" t="str">
        <f t="shared" si="2"/>
        <v>JaBr143</v>
      </c>
    </row>
    <row r="145" spans="1:5" x14ac:dyDescent="0.3">
      <c r="A145">
        <v>144</v>
      </c>
      <c r="B145" t="s">
        <v>339</v>
      </c>
      <c r="C145" t="s">
        <v>1008</v>
      </c>
      <c r="D145" t="s">
        <v>1020</v>
      </c>
      <c r="E145" t="str">
        <f t="shared" si="2"/>
        <v>DaHe144</v>
      </c>
    </row>
    <row r="146" spans="1:5" x14ac:dyDescent="0.3">
      <c r="A146">
        <v>145</v>
      </c>
      <c r="B146" t="s">
        <v>128</v>
      </c>
      <c r="C146" t="s">
        <v>1006</v>
      </c>
      <c r="D146" t="s">
        <v>1023</v>
      </c>
      <c r="E146" t="str">
        <f t="shared" si="2"/>
        <v>LaJo145</v>
      </c>
    </row>
    <row r="147" spans="1:5" x14ac:dyDescent="0.3">
      <c r="A147">
        <v>146</v>
      </c>
      <c r="B147" t="s">
        <v>136</v>
      </c>
      <c r="C147" t="s">
        <v>1006</v>
      </c>
      <c r="D147" t="s">
        <v>1018</v>
      </c>
      <c r="E147" t="str">
        <f t="shared" si="2"/>
        <v>LaMi146</v>
      </c>
    </row>
    <row r="148" spans="1:5" x14ac:dyDescent="0.3">
      <c r="A148">
        <v>147</v>
      </c>
      <c r="B148" t="s">
        <v>185</v>
      </c>
      <c r="C148" t="s">
        <v>1013</v>
      </c>
      <c r="D148" t="s">
        <v>1023</v>
      </c>
      <c r="E148" t="str">
        <f t="shared" si="2"/>
        <v>DaJo147</v>
      </c>
    </row>
    <row r="149" spans="1:5" x14ac:dyDescent="0.3">
      <c r="A149">
        <v>148</v>
      </c>
      <c r="B149" t="s">
        <v>404</v>
      </c>
      <c r="C149" t="s">
        <v>1014</v>
      </c>
      <c r="D149" t="s">
        <v>1019</v>
      </c>
      <c r="E149" t="str">
        <f t="shared" si="2"/>
        <v>SoJo148</v>
      </c>
    </row>
    <row r="150" spans="1:5" x14ac:dyDescent="0.3">
      <c r="A150">
        <v>149</v>
      </c>
      <c r="B150" t="s">
        <v>407</v>
      </c>
      <c r="C150" t="s">
        <v>1014</v>
      </c>
      <c r="D150" t="s">
        <v>1017</v>
      </c>
      <c r="E150" t="str">
        <f t="shared" si="2"/>
        <v>SoDa149</v>
      </c>
    </row>
    <row r="151" spans="1:5" x14ac:dyDescent="0.3">
      <c r="A151">
        <v>150</v>
      </c>
      <c r="B151" t="s">
        <v>409</v>
      </c>
      <c r="C151" t="s">
        <v>1008</v>
      </c>
      <c r="D151" t="s">
        <v>1023</v>
      </c>
      <c r="E151" t="str">
        <f t="shared" si="2"/>
        <v>DaJo150</v>
      </c>
    </row>
    <row r="152" spans="1:5" x14ac:dyDescent="0.3">
      <c r="A152">
        <v>151</v>
      </c>
      <c r="B152" t="s">
        <v>106</v>
      </c>
      <c r="C152" t="s">
        <v>1010</v>
      </c>
      <c r="D152" t="s">
        <v>1018</v>
      </c>
      <c r="E152" t="str">
        <f t="shared" si="2"/>
        <v>MiMi151</v>
      </c>
    </row>
    <row r="153" spans="1:5" x14ac:dyDescent="0.3">
      <c r="A153">
        <v>152</v>
      </c>
      <c r="B153" t="s">
        <v>414</v>
      </c>
      <c r="C153" t="s">
        <v>1006</v>
      </c>
      <c r="D153" t="s">
        <v>1017</v>
      </c>
      <c r="E153" t="str">
        <f t="shared" si="2"/>
        <v>LaDa152</v>
      </c>
    </row>
    <row r="154" spans="1:5" x14ac:dyDescent="0.3">
      <c r="A154">
        <v>153</v>
      </c>
      <c r="B154" t="s">
        <v>151</v>
      </c>
      <c r="C154" t="s">
        <v>1006</v>
      </c>
      <c r="D154" t="s">
        <v>1022</v>
      </c>
      <c r="E154" t="str">
        <f t="shared" si="2"/>
        <v>LaWi153</v>
      </c>
    </row>
    <row r="155" spans="1:5" x14ac:dyDescent="0.3">
      <c r="A155">
        <v>154</v>
      </c>
      <c r="B155" t="s">
        <v>395</v>
      </c>
      <c r="C155" t="s">
        <v>1011</v>
      </c>
      <c r="D155" t="s">
        <v>1016</v>
      </c>
      <c r="E155" t="str">
        <f t="shared" si="2"/>
        <v>JaBr154</v>
      </c>
    </row>
    <row r="156" spans="1:5" x14ac:dyDescent="0.3">
      <c r="A156">
        <v>155</v>
      </c>
      <c r="B156" t="s">
        <v>38</v>
      </c>
      <c r="C156" t="s">
        <v>1008</v>
      </c>
      <c r="D156" t="s">
        <v>1018</v>
      </c>
      <c r="E156" t="str">
        <f t="shared" si="2"/>
        <v>DaMi155</v>
      </c>
    </row>
    <row r="157" spans="1:5" x14ac:dyDescent="0.3">
      <c r="A157">
        <v>156</v>
      </c>
      <c r="B157" t="s">
        <v>422</v>
      </c>
      <c r="C157" t="s">
        <v>1010</v>
      </c>
      <c r="D157" t="s">
        <v>1020</v>
      </c>
      <c r="E157" t="str">
        <f t="shared" si="2"/>
        <v>MiHe156</v>
      </c>
    </row>
    <row r="158" spans="1:5" x14ac:dyDescent="0.3">
      <c r="A158">
        <v>157</v>
      </c>
      <c r="B158" t="s">
        <v>157</v>
      </c>
      <c r="C158" t="s">
        <v>1010</v>
      </c>
      <c r="D158" t="s">
        <v>1015</v>
      </c>
      <c r="E158" t="str">
        <f t="shared" si="2"/>
        <v>MiSm157</v>
      </c>
    </row>
    <row r="159" spans="1:5" x14ac:dyDescent="0.3">
      <c r="A159">
        <v>158</v>
      </c>
      <c r="B159" t="s">
        <v>188</v>
      </c>
      <c r="C159" t="s">
        <v>1012</v>
      </c>
      <c r="D159" t="s">
        <v>1016</v>
      </c>
      <c r="E159" t="str">
        <f t="shared" si="2"/>
        <v>SaBr158</v>
      </c>
    </row>
    <row r="160" spans="1:5" x14ac:dyDescent="0.3">
      <c r="A160">
        <v>159</v>
      </c>
      <c r="B160" t="s">
        <v>120</v>
      </c>
      <c r="C160" t="s">
        <v>1008</v>
      </c>
      <c r="D160" t="s">
        <v>1022</v>
      </c>
      <c r="E160" t="str">
        <f t="shared" si="2"/>
        <v>DaWi159</v>
      </c>
    </row>
    <row r="161" spans="1:5" x14ac:dyDescent="0.3">
      <c r="A161">
        <v>160</v>
      </c>
      <c r="B161" t="s">
        <v>429</v>
      </c>
      <c r="C161" t="s">
        <v>1007</v>
      </c>
      <c r="D161" t="s">
        <v>1016</v>
      </c>
      <c r="E161" t="str">
        <f t="shared" si="2"/>
        <v>JoBr160</v>
      </c>
    </row>
    <row r="162" spans="1:5" x14ac:dyDescent="0.3">
      <c r="A162">
        <v>161</v>
      </c>
      <c r="B162" t="s">
        <v>432</v>
      </c>
      <c r="C162" t="s">
        <v>1013</v>
      </c>
      <c r="D162" t="s">
        <v>1021</v>
      </c>
      <c r="E162" t="str">
        <f t="shared" si="2"/>
        <v>DaMa161</v>
      </c>
    </row>
    <row r="163" spans="1:5" x14ac:dyDescent="0.3">
      <c r="A163">
        <v>162</v>
      </c>
      <c r="B163" t="s">
        <v>72</v>
      </c>
      <c r="C163" t="s">
        <v>1006</v>
      </c>
      <c r="D163" t="s">
        <v>1021</v>
      </c>
      <c r="E163" t="str">
        <f t="shared" si="2"/>
        <v>LaMa162</v>
      </c>
    </row>
    <row r="164" spans="1:5" x14ac:dyDescent="0.3">
      <c r="A164">
        <v>163</v>
      </c>
      <c r="B164" t="s">
        <v>72</v>
      </c>
      <c r="C164" t="s">
        <v>1006</v>
      </c>
      <c r="D164" t="s">
        <v>1021</v>
      </c>
      <c r="E164" t="str">
        <f t="shared" si="2"/>
        <v>LaMa163</v>
      </c>
    </row>
    <row r="165" spans="1:5" x14ac:dyDescent="0.3">
      <c r="A165">
        <v>164</v>
      </c>
      <c r="B165" t="s">
        <v>438</v>
      </c>
      <c r="C165" t="s">
        <v>1005</v>
      </c>
      <c r="D165" t="s">
        <v>1019</v>
      </c>
      <c r="E165" t="str">
        <f t="shared" si="2"/>
        <v>EmJo164</v>
      </c>
    </row>
    <row r="166" spans="1:5" x14ac:dyDescent="0.3">
      <c r="A166">
        <v>165</v>
      </c>
      <c r="B166" t="s">
        <v>301</v>
      </c>
      <c r="C166" t="s">
        <v>1009</v>
      </c>
      <c r="D166" t="s">
        <v>1024</v>
      </c>
      <c r="E166" t="str">
        <f t="shared" si="2"/>
        <v>EmGa165</v>
      </c>
    </row>
    <row r="167" spans="1:5" x14ac:dyDescent="0.3">
      <c r="A167">
        <v>166</v>
      </c>
      <c r="B167" t="s">
        <v>442</v>
      </c>
      <c r="C167" t="s">
        <v>1007</v>
      </c>
      <c r="D167" t="s">
        <v>1024</v>
      </c>
      <c r="E167" t="str">
        <f t="shared" si="2"/>
        <v>JoGa166</v>
      </c>
    </row>
    <row r="168" spans="1:5" x14ac:dyDescent="0.3">
      <c r="A168">
        <v>167</v>
      </c>
      <c r="B168" t="s">
        <v>143</v>
      </c>
      <c r="C168" t="s">
        <v>1014</v>
      </c>
      <c r="D168" t="s">
        <v>1015</v>
      </c>
      <c r="E168" t="str">
        <f t="shared" si="2"/>
        <v>SoSm167</v>
      </c>
    </row>
    <row r="169" spans="1:5" x14ac:dyDescent="0.3">
      <c r="A169">
        <v>168</v>
      </c>
      <c r="B169" t="s">
        <v>447</v>
      </c>
      <c r="C169" t="s">
        <v>1005</v>
      </c>
      <c r="D169" t="s">
        <v>1023</v>
      </c>
      <c r="E169" t="str">
        <f t="shared" si="2"/>
        <v>EmJo168</v>
      </c>
    </row>
    <row r="170" spans="1:5" x14ac:dyDescent="0.3">
      <c r="A170">
        <v>169</v>
      </c>
      <c r="B170" t="s">
        <v>151</v>
      </c>
      <c r="C170" t="s">
        <v>1006</v>
      </c>
      <c r="D170" t="s">
        <v>1022</v>
      </c>
      <c r="E170" t="str">
        <f t="shared" si="2"/>
        <v>LaWi169</v>
      </c>
    </row>
    <row r="171" spans="1:5" x14ac:dyDescent="0.3">
      <c r="A171">
        <v>170</v>
      </c>
      <c r="B171" t="s">
        <v>452</v>
      </c>
      <c r="C171" t="s">
        <v>1011</v>
      </c>
      <c r="D171" t="s">
        <v>1018</v>
      </c>
      <c r="E171" t="str">
        <f t="shared" si="2"/>
        <v>JaMi170</v>
      </c>
    </row>
    <row r="172" spans="1:5" x14ac:dyDescent="0.3">
      <c r="A172">
        <v>171</v>
      </c>
      <c r="B172" t="s">
        <v>57</v>
      </c>
      <c r="C172" t="s">
        <v>1009</v>
      </c>
      <c r="D172" t="s">
        <v>1020</v>
      </c>
      <c r="E172" t="str">
        <f t="shared" si="2"/>
        <v>EmHe171</v>
      </c>
    </row>
    <row r="173" spans="1:5" x14ac:dyDescent="0.3">
      <c r="A173">
        <v>172</v>
      </c>
      <c r="B173" t="s">
        <v>452</v>
      </c>
      <c r="C173" t="s">
        <v>1011</v>
      </c>
      <c r="D173" t="s">
        <v>1018</v>
      </c>
      <c r="E173" t="str">
        <f t="shared" si="2"/>
        <v>JaMi172</v>
      </c>
    </row>
    <row r="174" spans="1:5" x14ac:dyDescent="0.3">
      <c r="A174">
        <v>173</v>
      </c>
      <c r="B174" t="s">
        <v>212</v>
      </c>
      <c r="C174" t="s">
        <v>1010</v>
      </c>
      <c r="D174" t="s">
        <v>1022</v>
      </c>
      <c r="E174" t="str">
        <f t="shared" si="2"/>
        <v>MiWi173</v>
      </c>
    </row>
    <row r="175" spans="1:5" x14ac:dyDescent="0.3">
      <c r="A175">
        <v>174</v>
      </c>
      <c r="B175" t="s">
        <v>274</v>
      </c>
      <c r="C175" t="s">
        <v>1006</v>
      </c>
      <c r="D175" t="s">
        <v>1020</v>
      </c>
      <c r="E175" t="str">
        <f t="shared" si="2"/>
        <v>LaHe174</v>
      </c>
    </row>
    <row r="176" spans="1:5" x14ac:dyDescent="0.3">
      <c r="A176">
        <v>175</v>
      </c>
      <c r="B176" t="s">
        <v>298</v>
      </c>
      <c r="C176" t="s">
        <v>1011</v>
      </c>
      <c r="D176" t="s">
        <v>1022</v>
      </c>
      <c r="E176" t="str">
        <f t="shared" si="2"/>
        <v>JaWi175</v>
      </c>
    </row>
    <row r="177" spans="1:5" x14ac:dyDescent="0.3">
      <c r="A177">
        <v>176</v>
      </c>
      <c r="B177" t="s">
        <v>136</v>
      </c>
      <c r="C177" t="s">
        <v>1006</v>
      </c>
      <c r="D177" t="s">
        <v>1018</v>
      </c>
      <c r="E177" t="str">
        <f t="shared" si="2"/>
        <v>LaMi176</v>
      </c>
    </row>
    <row r="178" spans="1:5" x14ac:dyDescent="0.3">
      <c r="A178">
        <v>177</v>
      </c>
      <c r="B178" t="s">
        <v>358</v>
      </c>
      <c r="C178" t="s">
        <v>1007</v>
      </c>
      <c r="D178" t="s">
        <v>1021</v>
      </c>
      <c r="E178" t="str">
        <f t="shared" si="2"/>
        <v>JoMa177</v>
      </c>
    </row>
    <row r="179" spans="1:5" x14ac:dyDescent="0.3">
      <c r="A179">
        <v>178</v>
      </c>
      <c r="B179" t="s">
        <v>466</v>
      </c>
      <c r="C179" t="s">
        <v>1012</v>
      </c>
      <c r="D179" t="s">
        <v>1020</v>
      </c>
      <c r="E179" t="str">
        <f t="shared" si="2"/>
        <v>SaHe178</v>
      </c>
    </row>
    <row r="180" spans="1:5" x14ac:dyDescent="0.3">
      <c r="A180">
        <v>179</v>
      </c>
      <c r="B180" t="s">
        <v>46</v>
      </c>
      <c r="C180" t="s">
        <v>1009</v>
      </c>
      <c r="D180" t="s">
        <v>1019</v>
      </c>
      <c r="E180" t="str">
        <f t="shared" si="2"/>
        <v>EmJo179</v>
      </c>
    </row>
    <row r="181" spans="1:5" x14ac:dyDescent="0.3">
      <c r="A181">
        <v>180</v>
      </c>
      <c r="B181" t="s">
        <v>160</v>
      </c>
      <c r="C181" t="s">
        <v>1012</v>
      </c>
      <c r="D181" t="s">
        <v>1021</v>
      </c>
      <c r="E181" t="str">
        <f t="shared" si="2"/>
        <v>SaMa180</v>
      </c>
    </row>
    <row r="182" spans="1:5" x14ac:dyDescent="0.3">
      <c r="A182">
        <v>181</v>
      </c>
      <c r="B182" t="s">
        <v>472</v>
      </c>
      <c r="C182" t="s">
        <v>1008</v>
      </c>
      <c r="D182" t="s">
        <v>1017</v>
      </c>
      <c r="E182" t="str">
        <f t="shared" si="2"/>
        <v>DaDa181</v>
      </c>
    </row>
    <row r="183" spans="1:5" x14ac:dyDescent="0.3">
      <c r="A183">
        <v>182</v>
      </c>
      <c r="B183" t="s">
        <v>274</v>
      </c>
      <c r="C183" t="s">
        <v>1006</v>
      </c>
      <c r="D183" t="s">
        <v>1020</v>
      </c>
      <c r="E183" t="str">
        <f t="shared" si="2"/>
        <v>LaHe182</v>
      </c>
    </row>
    <row r="184" spans="1:5" x14ac:dyDescent="0.3">
      <c r="A184">
        <v>183</v>
      </c>
      <c r="B184" t="s">
        <v>128</v>
      </c>
      <c r="C184" t="s">
        <v>1006</v>
      </c>
      <c r="D184" t="s">
        <v>1023</v>
      </c>
      <c r="E184" t="str">
        <f t="shared" si="2"/>
        <v>LaJo183</v>
      </c>
    </row>
    <row r="185" spans="1:5" x14ac:dyDescent="0.3">
      <c r="A185">
        <v>184</v>
      </c>
      <c r="B185" t="s">
        <v>478</v>
      </c>
      <c r="C185" t="s">
        <v>1009</v>
      </c>
      <c r="D185" t="s">
        <v>1018</v>
      </c>
      <c r="E185" t="str">
        <f t="shared" si="2"/>
        <v>EmMi184</v>
      </c>
    </row>
    <row r="186" spans="1:5" x14ac:dyDescent="0.3">
      <c r="A186">
        <v>185</v>
      </c>
      <c r="B186" t="s">
        <v>358</v>
      </c>
      <c r="C186" t="s">
        <v>1007</v>
      </c>
      <c r="D186" t="s">
        <v>1021</v>
      </c>
      <c r="E186" t="str">
        <f t="shared" si="2"/>
        <v>JoMa185</v>
      </c>
    </row>
    <row r="187" spans="1:5" x14ac:dyDescent="0.3">
      <c r="A187">
        <v>186</v>
      </c>
      <c r="B187" t="s">
        <v>16</v>
      </c>
      <c r="C187" t="s">
        <v>1005</v>
      </c>
      <c r="D187" t="s">
        <v>1015</v>
      </c>
      <c r="E187" t="str">
        <f t="shared" si="2"/>
        <v>EmSm186</v>
      </c>
    </row>
    <row r="188" spans="1:5" x14ac:dyDescent="0.3">
      <c r="A188">
        <v>187</v>
      </c>
      <c r="B188" t="s">
        <v>154</v>
      </c>
      <c r="C188" t="s">
        <v>1013</v>
      </c>
      <c r="D188" t="s">
        <v>1018</v>
      </c>
      <c r="E188" t="str">
        <f t="shared" si="2"/>
        <v>DaMi187</v>
      </c>
    </row>
    <row r="189" spans="1:5" x14ac:dyDescent="0.3">
      <c r="A189">
        <v>188</v>
      </c>
      <c r="B189" t="s">
        <v>319</v>
      </c>
      <c r="C189" t="s">
        <v>1013</v>
      </c>
      <c r="D189" t="s">
        <v>1019</v>
      </c>
      <c r="E189" t="str">
        <f t="shared" si="2"/>
        <v>DaJo188</v>
      </c>
    </row>
    <row r="190" spans="1:5" x14ac:dyDescent="0.3">
      <c r="A190">
        <v>189</v>
      </c>
      <c r="B190" t="s">
        <v>407</v>
      </c>
      <c r="C190" t="s">
        <v>1014</v>
      </c>
      <c r="D190" t="s">
        <v>1017</v>
      </c>
      <c r="E190" t="str">
        <f t="shared" si="2"/>
        <v>SoDa189</v>
      </c>
    </row>
    <row r="191" spans="1:5" x14ac:dyDescent="0.3">
      <c r="A191">
        <v>190</v>
      </c>
      <c r="B191" t="s">
        <v>488</v>
      </c>
      <c r="C191" t="s">
        <v>1008</v>
      </c>
      <c r="D191" t="s">
        <v>1024</v>
      </c>
      <c r="E191" t="str">
        <f t="shared" si="2"/>
        <v>DaGa190</v>
      </c>
    </row>
    <row r="192" spans="1:5" x14ac:dyDescent="0.3">
      <c r="A192">
        <v>191</v>
      </c>
      <c r="B192" t="s">
        <v>243</v>
      </c>
      <c r="C192" t="s">
        <v>1010</v>
      </c>
      <c r="D192" t="s">
        <v>1024</v>
      </c>
      <c r="E192" t="str">
        <f t="shared" si="2"/>
        <v>MiGa191</v>
      </c>
    </row>
    <row r="193" spans="1:5" x14ac:dyDescent="0.3">
      <c r="A193">
        <v>192</v>
      </c>
      <c r="B193" t="s">
        <v>100</v>
      </c>
      <c r="C193" t="s">
        <v>1012</v>
      </c>
      <c r="D193" t="s">
        <v>1015</v>
      </c>
      <c r="E193" t="str">
        <f t="shared" si="2"/>
        <v>SaSm192</v>
      </c>
    </row>
    <row r="194" spans="1:5" x14ac:dyDescent="0.3">
      <c r="A194">
        <v>193</v>
      </c>
      <c r="B194" t="s">
        <v>114</v>
      </c>
      <c r="C194" t="s">
        <v>1012</v>
      </c>
      <c r="D194" t="s">
        <v>1019</v>
      </c>
      <c r="E194" t="str">
        <f t="shared" si="2"/>
        <v>SaJo193</v>
      </c>
    </row>
    <row r="195" spans="1:5" x14ac:dyDescent="0.3">
      <c r="A195">
        <v>194</v>
      </c>
      <c r="B195" t="s">
        <v>409</v>
      </c>
      <c r="C195" t="s">
        <v>1008</v>
      </c>
      <c r="D195" t="s">
        <v>1023</v>
      </c>
      <c r="E195" t="str">
        <f t="shared" si="2"/>
        <v>DaJo194</v>
      </c>
    </row>
    <row r="196" spans="1:5" x14ac:dyDescent="0.3">
      <c r="A196">
        <v>195</v>
      </c>
      <c r="B196" t="s">
        <v>295</v>
      </c>
      <c r="C196" t="s">
        <v>1012</v>
      </c>
      <c r="D196" t="s">
        <v>1018</v>
      </c>
      <c r="E196" t="str">
        <f t="shared" ref="E196:E259" si="3">_xlfn.CONCAT(LEFT(C196,2),LEFT(D196,2),A196)</f>
        <v>SaMi195</v>
      </c>
    </row>
    <row r="197" spans="1:5" x14ac:dyDescent="0.3">
      <c r="A197">
        <v>196</v>
      </c>
      <c r="B197" t="s">
        <v>72</v>
      </c>
      <c r="C197" t="s">
        <v>1006</v>
      </c>
      <c r="D197" t="s">
        <v>1021</v>
      </c>
      <c r="E197" t="str">
        <f t="shared" si="3"/>
        <v>LaMa196</v>
      </c>
    </row>
    <row r="198" spans="1:5" x14ac:dyDescent="0.3">
      <c r="A198">
        <v>197</v>
      </c>
      <c r="B198" t="s">
        <v>319</v>
      </c>
      <c r="C198" t="s">
        <v>1013</v>
      </c>
      <c r="D198" t="s">
        <v>1019</v>
      </c>
      <c r="E198" t="str">
        <f t="shared" si="3"/>
        <v>DaJo197</v>
      </c>
    </row>
    <row r="199" spans="1:5" x14ac:dyDescent="0.3">
      <c r="A199">
        <v>198</v>
      </c>
      <c r="B199" t="s">
        <v>447</v>
      </c>
      <c r="C199" t="s">
        <v>1005</v>
      </c>
      <c r="D199" t="s">
        <v>1023</v>
      </c>
      <c r="E199" t="str">
        <f t="shared" si="3"/>
        <v>EmJo198</v>
      </c>
    </row>
    <row r="200" spans="1:5" x14ac:dyDescent="0.3">
      <c r="A200">
        <v>199</v>
      </c>
      <c r="B200" t="s">
        <v>157</v>
      </c>
      <c r="C200" t="s">
        <v>1010</v>
      </c>
      <c r="D200" t="s">
        <v>1015</v>
      </c>
      <c r="E200" t="str">
        <f t="shared" si="3"/>
        <v>MiSm199</v>
      </c>
    </row>
    <row r="201" spans="1:5" x14ac:dyDescent="0.3">
      <c r="A201">
        <v>200</v>
      </c>
      <c r="B201" t="s">
        <v>160</v>
      </c>
      <c r="C201" t="s">
        <v>1012</v>
      </c>
      <c r="D201" t="s">
        <v>1021</v>
      </c>
      <c r="E201" t="str">
        <f t="shared" si="3"/>
        <v>SaMa200</v>
      </c>
    </row>
    <row r="202" spans="1:5" x14ac:dyDescent="0.3">
      <c r="A202">
        <v>201</v>
      </c>
      <c r="B202" t="s">
        <v>506</v>
      </c>
      <c r="C202" t="s">
        <v>1012</v>
      </c>
      <c r="D202" t="s">
        <v>1023</v>
      </c>
      <c r="E202" t="str">
        <f t="shared" si="3"/>
        <v>SaJo201</v>
      </c>
    </row>
    <row r="203" spans="1:5" x14ac:dyDescent="0.3">
      <c r="A203">
        <v>202</v>
      </c>
      <c r="B203" t="s">
        <v>232</v>
      </c>
      <c r="C203" t="s">
        <v>1008</v>
      </c>
      <c r="D203" t="s">
        <v>1016</v>
      </c>
      <c r="E203" t="str">
        <f t="shared" si="3"/>
        <v>DaBr202</v>
      </c>
    </row>
    <row r="204" spans="1:5" x14ac:dyDescent="0.3">
      <c r="A204">
        <v>203</v>
      </c>
      <c r="B204" t="s">
        <v>295</v>
      </c>
      <c r="C204" t="s">
        <v>1012</v>
      </c>
      <c r="D204" t="s">
        <v>1018</v>
      </c>
      <c r="E204" t="str">
        <f t="shared" si="3"/>
        <v>SaMi203</v>
      </c>
    </row>
    <row r="205" spans="1:5" x14ac:dyDescent="0.3">
      <c r="A205">
        <v>204</v>
      </c>
      <c r="B205" t="s">
        <v>395</v>
      </c>
      <c r="C205" t="s">
        <v>1011</v>
      </c>
      <c r="D205" t="s">
        <v>1016</v>
      </c>
      <c r="E205" t="str">
        <f t="shared" si="3"/>
        <v>JaBr204</v>
      </c>
    </row>
    <row r="206" spans="1:5" x14ac:dyDescent="0.3">
      <c r="A206">
        <v>205</v>
      </c>
      <c r="B206" t="s">
        <v>198</v>
      </c>
      <c r="C206" t="s">
        <v>1008</v>
      </c>
      <c r="D206" t="s">
        <v>1019</v>
      </c>
      <c r="E206" t="str">
        <f t="shared" si="3"/>
        <v>DaJo205</v>
      </c>
    </row>
    <row r="207" spans="1:5" x14ac:dyDescent="0.3">
      <c r="A207">
        <v>206</v>
      </c>
      <c r="B207" t="s">
        <v>268</v>
      </c>
      <c r="C207" t="s">
        <v>1009</v>
      </c>
      <c r="D207" t="s">
        <v>1017</v>
      </c>
      <c r="E207" t="str">
        <f t="shared" si="3"/>
        <v>EmDa206</v>
      </c>
    </row>
    <row r="208" spans="1:5" x14ac:dyDescent="0.3">
      <c r="A208">
        <v>207</v>
      </c>
      <c r="B208" t="s">
        <v>384</v>
      </c>
      <c r="C208" t="s">
        <v>1005</v>
      </c>
      <c r="D208" t="s">
        <v>1016</v>
      </c>
      <c r="E208" t="str">
        <f t="shared" si="3"/>
        <v>EmBr207</v>
      </c>
    </row>
    <row r="209" spans="1:5" x14ac:dyDescent="0.3">
      <c r="A209">
        <v>208</v>
      </c>
      <c r="B209" t="s">
        <v>128</v>
      </c>
      <c r="C209" t="s">
        <v>1006</v>
      </c>
      <c r="D209" t="s">
        <v>1023</v>
      </c>
      <c r="E209" t="str">
        <f t="shared" si="3"/>
        <v>LaJo208</v>
      </c>
    </row>
    <row r="210" spans="1:5" x14ac:dyDescent="0.3">
      <c r="A210">
        <v>209</v>
      </c>
      <c r="B210" t="s">
        <v>85</v>
      </c>
      <c r="C210" t="s">
        <v>1009</v>
      </c>
      <c r="D210" t="s">
        <v>1015</v>
      </c>
      <c r="E210" t="str">
        <f t="shared" si="3"/>
        <v>EmSm209</v>
      </c>
    </row>
    <row r="211" spans="1:5" x14ac:dyDescent="0.3">
      <c r="A211">
        <v>210</v>
      </c>
      <c r="B211" t="s">
        <v>140</v>
      </c>
      <c r="C211" t="s">
        <v>1014</v>
      </c>
      <c r="D211" t="s">
        <v>1024</v>
      </c>
      <c r="E211" t="str">
        <f t="shared" si="3"/>
        <v>SoGa210</v>
      </c>
    </row>
    <row r="212" spans="1:5" x14ac:dyDescent="0.3">
      <c r="A212">
        <v>211</v>
      </c>
      <c r="B212" t="s">
        <v>117</v>
      </c>
      <c r="C212" t="s">
        <v>1014</v>
      </c>
      <c r="D212" t="s">
        <v>1020</v>
      </c>
      <c r="E212" t="str">
        <f t="shared" si="3"/>
        <v>SoHe211</v>
      </c>
    </row>
    <row r="213" spans="1:5" x14ac:dyDescent="0.3">
      <c r="A213">
        <v>212</v>
      </c>
      <c r="B213" t="s">
        <v>526</v>
      </c>
      <c r="C213" t="s">
        <v>1013</v>
      </c>
      <c r="D213" t="s">
        <v>1016</v>
      </c>
      <c r="E213" t="str">
        <f t="shared" si="3"/>
        <v>DaBr212</v>
      </c>
    </row>
    <row r="214" spans="1:5" x14ac:dyDescent="0.3">
      <c r="A214">
        <v>213</v>
      </c>
      <c r="B214" t="s">
        <v>204</v>
      </c>
      <c r="C214" t="s">
        <v>1012</v>
      </c>
      <c r="D214" t="s">
        <v>1024</v>
      </c>
      <c r="E214" t="str">
        <f t="shared" si="3"/>
        <v>SaGa213</v>
      </c>
    </row>
    <row r="215" spans="1:5" x14ac:dyDescent="0.3">
      <c r="A215">
        <v>214</v>
      </c>
      <c r="B215" t="s">
        <v>336</v>
      </c>
      <c r="C215" t="s">
        <v>1005</v>
      </c>
      <c r="D215" t="s">
        <v>1021</v>
      </c>
      <c r="E215" t="str">
        <f t="shared" si="3"/>
        <v>EmMa214</v>
      </c>
    </row>
    <row r="216" spans="1:5" x14ac:dyDescent="0.3">
      <c r="A216">
        <v>215</v>
      </c>
      <c r="B216" t="s">
        <v>526</v>
      </c>
      <c r="C216" t="s">
        <v>1013</v>
      </c>
      <c r="D216" t="s">
        <v>1016</v>
      </c>
      <c r="E216" t="str">
        <f t="shared" si="3"/>
        <v>DaBr215</v>
      </c>
    </row>
    <row r="217" spans="1:5" x14ac:dyDescent="0.3">
      <c r="A217">
        <v>216</v>
      </c>
      <c r="B217" t="s">
        <v>140</v>
      </c>
      <c r="C217" t="s">
        <v>1014</v>
      </c>
      <c r="D217" t="s">
        <v>1024</v>
      </c>
      <c r="E217" t="str">
        <f t="shared" si="3"/>
        <v>SoGa216</v>
      </c>
    </row>
    <row r="218" spans="1:5" x14ac:dyDescent="0.3">
      <c r="A218">
        <v>217</v>
      </c>
      <c r="B218" t="s">
        <v>535</v>
      </c>
      <c r="C218" t="s">
        <v>1007</v>
      </c>
      <c r="D218" t="s">
        <v>1019</v>
      </c>
      <c r="E218" t="str">
        <f t="shared" si="3"/>
        <v>JoJo217</v>
      </c>
    </row>
    <row r="219" spans="1:5" x14ac:dyDescent="0.3">
      <c r="A219">
        <v>218</v>
      </c>
      <c r="B219" t="s">
        <v>478</v>
      </c>
      <c r="C219" t="s">
        <v>1009</v>
      </c>
      <c r="D219" t="s">
        <v>1018</v>
      </c>
      <c r="E219" t="str">
        <f t="shared" si="3"/>
        <v>EmMi218</v>
      </c>
    </row>
    <row r="220" spans="1:5" x14ac:dyDescent="0.3">
      <c r="A220">
        <v>219</v>
      </c>
      <c r="B220" t="s">
        <v>148</v>
      </c>
      <c r="C220" t="s">
        <v>1007</v>
      </c>
      <c r="D220" t="s">
        <v>1020</v>
      </c>
      <c r="E220" t="str">
        <f t="shared" si="3"/>
        <v>JoHe219</v>
      </c>
    </row>
    <row r="221" spans="1:5" x14ac:dyDescent="0.3">
      <c r="A221">
        <v>220</v>
      </c>
      <c r="B221" t="s">
        <v>541</v>
      </c>
      <c r="C221" t="s">
        <v>1014</v>
      </c>
      <c r="D221" t="s">
        <v>1016</v>
      </c>
      <c r="E221" t="str">
        <f t="shared" si="3"/>
        <v>SoBr220</v>
      </c>
    </row>
    <row r="222" spans="1:5" x14ac:dyDescent="0.3">
      <c r="A222">
        <v>221</v>
      </c>
      <c r="B222" t="s">
        <v>76</v>
      </c>
      <c r="C222" t="s">
        <v>1011</v>
      </c>
      <c r="D222" t="s">
        <v>1021</v>
      </c>
      <c r="E222" t="str">
        <f t="shared" si="3"/>
        <v>JaMa221</v>
      </c>
    </row>
    <row r="223" spans="1:5" x14ac:dyDescent="0.3">
      <c r="A223">
        <v>222</v>
      </c>
      <c r="B223" t="s">
        <v>377</v>
      </c>
      <c r="C223" t="s">
        <v>1011</v>
      </c>
      <c r="D223" t="s">
        <v>1015</v>
      </c>
      <c r="E223" t="str">
        <f t="shared" si="3"/>
        <v>JaSm222</v>
      </c>
    </row>
    <row r="224" spans="1:5" x14ac:dyDescent="0.3">
      <c r="A224">
        <v>223</v>
      </c>
      <c r="B224" t="s">
        <v>154</v>
      </c>
      <c r="C224" t="s">
        <v>1013</v>
      </c>
      <c r="D224" t="s">
        <v>1018</v>
      </c>
      <c r="E224" t="str">
        <f t="shared" si="3"/>
        <v>DaMi223</v>
      </c>
    </row>
    <row r="225" spans="1:5" x14ac:dyDescent="0.3">
      <c r="A225">
        <v>224</v>
      </c>
      <c r="B225" t="s">
        <v>535</v>
      </c>
      <c r="C225" t="s">
        <v>1007</v>
      </c>
      <c r="D225" t="s">
        <v>1019</v>
      </c>
      <c r="E225" t="str">
        <f t="shared" si="3"/>
        <v>JoJo224</v>
      </c>
    </row>
    <row r="226" spans="1:5" x14ac:dyDescent="0.3">
      <c r="A226">
        <v>225</v>
      </c>
      <c r="B226" t="s">
        <v>52</v>
      </c>
      <c r="C226" t="s">
        <v>1010</v>
      </c>
      <c r="D226" t="s">
        <v>1019</v>
      </c>
      <c r="E226" t="str">
        <f t="shared" si="3"/>
        <v>MiJo225</v>
      </c>
    </row>
    <row r="227" spans="1:5" x14ac:dyDescent="0.3">
      <c r="A227">
        <v>226</v>
      </c>
      <c r="B227" t="s">
        <v>553</v>
      </c>
      <c r="C227" t="s">
        <v>1009</v>
      </c>
      <c r="D227" t="s">
        <v>1023</v>
      </c>
      <c r="E227" t="str">
        <f t="shared" si="3"/>
        <v>EmJo226</v>
      </c>
    </row>
    <row r="228" spans="1:5" x14ac:dyDescent="0.3">
      <c r="A228">
        <v>227</v>
      </c>
      <c r="B228" t="s">
        <v>295</v>
      </c>
      <c r="C228" t="s">
        <v>1012</v>
      </c>
      <c r="D228" t="s">
        <v>1018</v>
      </c>
      <c r="E228" t="str">
        <f t="shared" si="3"/>
        <v>SaMi227</v>
      </c>
    </row>
    <row r="229" spans="1:5" x14ac:dyDescent="0.3">
      <c r="A229">
        <v>228</v>
      </c>
      <c r="B229" t="s">
        <v>33</v>
      </c>
      <c r="C229" t="s">
        <v>1007</v>
      </c>
      <c r="D229" t="s">
        <v>1017</v>
      </c>
      <c r="E229" t="str">
        <f t="shared" si="3"/>
        <v>JoDa228</v>
      </c>
    </row>
    <row r="230" spans="1:5" x14ac:dyDescent="0.3">
      <c r="A230">
        <v>229</v>
      </c>
      <c r="B230" t="s">
        <v>38</v>
      </c>
      <c r="C230" t="s">
        <v>1008</v>
      </c>
      <c r="D230" t="s">
        <v>1018</v>
      </c>
      <c r="E230" t="str">
        <f t="shared" si="3"/>
        <v>DaMi229</v>
      </c>
    </row>
    <row r="231" spans="1:5" x14ac:dyDescent="0.3">
      <c r="A231">
        <v>230</v>
      </c>
      <c r="B231" t="s">
        <v>447</v>
      </c>
      <c r="C231" t="s">
        <v>1005</v>
      </c>
      <c r="D231" t="s">
        <v>1023</v>
      </c>
      <c r="E231" t="str">
        <f t="shared" si="3"/>
        <v>EmJo230</v>
      </c>
    </row>
    <row r="232" spans="1:5" x14ac:dyDescent="0.3">
      <c r="A232">
        <v>231</v>
      </c>
      <c r="B232" t="s">
        <v>182</v>
      </c>
      <c r="C232" t="s">
        <v>1008</v>
      </c>
      <c r="D232" t="s">
        <v>1015</v>
      </c>
      <c r="E232" t="str">
        <f t="shared" si="3"/>
        <v>DaSm231</v>
      </c>
    </row>
    <row r="233" spans="1:5" x14ac:dyDescent="0.3">
      <c r="A233">
        <v>232</v>
      </c>
      <c r="B233" t="s">
        <v>339</v>
      </c>
      <c r="C233" t="s">
        <v>1008</v>
      </c>
      <c r="D233" t="s">
        <v>1020</v>
      </c>
      <c r="E233" t="str">
        <f t="shared" si="3"/>
        <v>DaHe232</v>
      </c>
    </row>
    <row r="234" spans="1:5" x14ac:dyDescent="0.3">
      <c r="A234">
        <v>233</v>
      </c>
      <c r="B234" t="s">
        <v>160</v>
      </c>
      <c r="C234" t="s">
        <v>1012</v>
      </c>
      <c r="D234" t="s">
        <v>1021</v>
      </c>
      <c r="E234" t="str">
        <f t="shared" si="3"/>
        <v>SaMa233</v>
      </c>
    </row>
    <row r="235" spans="1:5" x14ac:dyDescent="0.3">
      <c r="A235">
        <v>234</v>
      </c>
      <c r="B235" t="s">
        <v>252</v>
      </c>
      <c r="C235" t="s">
        <v>1014</v>
      </c>
      <c r="D235" t="s">
        <v>1018</v>
      </c>
      <c r="E235" t="str">
        <f t="shared" si="3"/>
        <v>SoMi234</v>
      </c>
    </row>
    <row r="236" spans="1:5" x14ac:dyDescent="0.3">
      <c r="A236">
        <v>235</v>
      </c>
      <c r="B236" t="s">
        <v>339</v>
      </c>
      <c r="C236" t="s">
        <v>1008</v>
      </c>
      <c r="D236" t="s">
        <v>1020</v>
      </c>
      <c r="E236" t="str">
        <f t="shared" si="3"/>
        <v>DaHe235</v>
      </c>
    </row>
    <row r="237" spans="1:5" x14ac:dyDescent="0.3">
      <c r="A237">
        <v>236</v>
      </c>
      <c r="B237" t="s">
        <v>151</v>
      </c>
      <c r="C237" t="s">
        <v>1006</v>
      </c>
      <c r="D237" t="s">
        <v>1022</v>
      </c>
      <c r="E237" t="str">
        <f t="shared" si="3"/>
        <v>LaWi236</v>
      </c>
    </row>
    <row r="238" spans="1:5" x14ac:dyDescent="0.3">
      <c r="A238">
        <v>237</v>
      </c>
      <c r="B238" t="s">
        <v>409</v>
      </c>
      <c r="C238" t="s">
        <v>1008</v>
      </c>
      <c r="D238" t="s">
        <v>1023</v>
      </c>
      <c r="E238" t="str">
        <f t="shared" si="3"/>
        <v>DaJo237</v>
      </c>
    </row>
    <row r="239" spans="1:5" x14ac:dyDescent="0.3">
      <c r="A239">
        <v>238</v>
      </c>
      <c r="B239" t="s">
        <v>295</v>
      </c>
      <c r="C239" t="s">
        <v>1012</v>
      </c>
      <c r="D239" t="s">
        <v>1018</v>
      </c>
      <c r="E239" t="str">
        <f t="shared" si="3"/>
        <v>SaMi238</v>
      </c>
    </row>
    <row r="240" spans="1:5" x14ac:dyDescent="0.3">
      <c r="A240">
        <v>239</v>
      </c>
      <c r="B240" t="s">
        <v>92</v>
      </c>
      <c r="C240" t="s">
        <v>1013</v>
      </c>
      <c r="D240" t="s">
        <v>1022</v>
      </c>
      <c r="E240" t="str">
        <f t="shared" si="3"/>
        <v>DaWi239</v>
      </c>
    </row>
    <row r="241" spans="1:5" x14ac:dyDescent="0.3">
      <c r="A241">
        <v>240</v>
      </c>
      <c r="B241" t="s">
        <v>404</v>
      </c>
      <c r="C241" t="s">
        <v>1014</v>
      </c>
      <c r="D241" t="s">
        <v>1019</v>
      </c>
      <c r="E241" t="str">
        <f t="shared" si="3"/>
        <v>SoJo240</v>
      </c>
    </row>
    <row r="242" spans="1:5" x14ac:dyDescent="0.3">
      <c r="A242">
        <v>241</v>
      </c>
      <c r="B242" t="s">
        <v>429</v>
      </c>
      <c r="C242" t="s">
        <v>1007</v>
      </c>
      <c r="D242" t="s">
        <v>1016</v>
      </c>
      <c r="E242" t="str">
        <f t="shared" si="3"/>
        <v>JoBr241</v>
      </c>
    </row>
    <row r="243" spans="1:5" x14ac:dyDescent="0.3">
      <c r="A243">
        <v>242</v>
      </c>
      <c r="B243" t="s">
        <v>148</v>
      </c>
      <c r="C243" t="s">
        <v>1007</v>
      </c>
      <c r="D243" t="s">
        <v>1020</v>
      </c>
      <c r="E243" t="str">
        <f t="shared" si="3"/>
        <v>JoHe242</v>
      </c>
    </row>
    <row r="244" spans="1:5" x14ac:dyDescent="0.3">
      <c r="A244">
        <v>243</v>
      </c>
      <c r="B244" t="s">
        <v>580</v>
      </c>
      <c r="C244" t="s">
        <v>1006</v>
      </c>
      <c r="D244" t="s">
        <v>1019</v>
      </c>
      <c r="E244" t="str">
        <f t="shared" si="3"/>
        <v>LaJo243</v>
      </c>
    </row>
    <row r="245" spans="1:5" x14ac:dyDescent="0.3">
      <c r="A245">
        <v>244</v>
      </c>
      <c r="B245" t="s">
        <v>16</v>
      </c>
      <c r="C245" t="s">
        <v>1005</v>
      </c>
      <c r="D245" t="s">
        <v>1015</v>
      </c>
      <c r="E245" t="str">
        <f t="shared" si="3"/>
        <v>EmSm244</v>
      </c>
    </row>
    <row r="246" spans="1:5" x14ac:dyDescent="0.3">
      <c r="A246">
        <v>245</v>
      </c>
      <c r="B246" t="s">
        <v>131</v>
      </c>
      <c r="C246" t="s">
        <v>1010</v>
      </c>
      <c r="D246" t="s">
        <v>1016</v>
      </c>
      <c r="E246" t="str">
        <f t="shared" si="3"/>
        <v>MiBr245</v>
      </c>
    </row>
    <row r="247" spans="1:5" x14ac:dyDescent="0.3">
      <c r="A247">
        <v>246</v>
      </c>
      <c r="B247" t="s">
        <v>166</v>
      </c>
      <c r="C247" t="s">
        <v>1009</v>
      </c>
      <c r="D247" t="s">
        <v>1022</v>
      </c>
      <c r="E247" t="str">
        <f t="shared" si="3"/>
        <v>EmWi246</v>
      </c>
    </row>
    <row r="248" spans="1:5" x14ac:dyDescent="0.3">
      <c r="A248">
        <v>247</v>
      </c>
      <c r="B248" t="s">
        <v>301</v>
      </c>
      <c r="C248" t="s">
        <v>1009</v>
      </c>
      <c r="D248" t="s">
        <v>1024</v>
      </c>
      <c r="E248" t="str">
        <f t="shared" si="3"/>
        <v>EmGa247</v>
      </c>
    </row>
    <row r="249" spans="1:5" x14ac:dyDescent="0.3">
      <c r="A249">
        <v>248</v>
      </c>
      <c r="B249" t="s">
        <v>336</v>
      </c>
      <c r="C249" t="s">
        <v>1005</v>
      </c>
      <c r="D249" t="s">
        <v>1021</v>
      </c>
      <c r="E249" t="str">
        <f t="shared" si="3"/>
        <v>EmMa248</v>
      </c>
    </row>
    <row r="250" spans="1:5" x14ac:dyDescent="0.3">
      <c r="A250">
        <v>249</v>
      </c>
      <c r="B250" t="s">
        <v>384</v>
      </c>
      <c r="C250" t="s">
        <v>1005</v>
      </c>
      <c r="D250" t="s">
        <v>1016</v>
      </c>
      <c r="E250" t="str">
        <f t="shared" si="3"/>
        <v>EmBr249</v>
      </c>
    </row>
    <row r="251" spans="1:5" x14ac:dyDescent="0.3">
      <c r="A251">
        <v>250</v>
      </c>
      <c r="B251" t="s">
        <v>232</v>
      </c>
      <c r="C251" t="s">
        <v>1008</v>
      </c>
      <c r="D251" t="s">
        <v>1016</v>
      </c>
      <c r="E251" t="str">
        <f t="shared" si="3"/>
        <v>DaBr250</v>
      </c>
    </row>
    <row r="252" spans="1:5" x14ac:dyDescent="0.3">
      <c r="A252">
        <v>251</v>
      </c>
      <c r="B252" t="s">
        <v>580</v>
      </c>
      <c r="C252" t="s">
        <v>1006</v>
      </c>
      <c r="D252" t="s">
        <v>1019</v>
      </c>
      <c r="E252" t="str">
        <f t="shared" si="3"/>
        <v>LaJo251</v>
      </c>
    </row>
    <row r="253" spans="1:5" x14ac:dyDescent="0.3">
      <c r="A253">
        <v>252</v>
      </c>
      <c r="B253" t="s">
        <v>597</v>
      </c>
      <c r="C253" t="s">
        <v>1007</v>
      </c>
      <c r="D253" t="s">
        <v>1015</v>
      </c>
      <c r="E253" t="str">
        <f t="shared" si="3"/>
        <v>JoSm252</v>
      </c>
    </row>
    <row r="254" spans="1:5" x14ac:dyDescent="0.3">
      <c r="A254">
        <v>253</v>
      </c>
      <c r="B254" t="s">
        <v>38</v>
      </c>
      <c r="C254" t="s">
        <v>1008</v>
      </c>
      <c r="D254" t="s">
        <v>1018</v>
      </c>
      <c r="E254" t="str">
        <f t="shared" si="3"/>
        <v>DaMi253</v>
      </c>
    </row>
    <row r="255" spans="1:5" x14ac:dyDescent="0.3">
      <c r="A255">
        <v>254</v>
      </c>
      <c r="B255" t="s">
        <v>472</v>
      </c>
      <c r="C255" t="s">
        <v>1008</v>
      </c>
      <c r="D255" t="s">
        <v>1017</v>
      </c>
      <c r="E255" t="str">
        <f t="shared" si="3"/>
        <v>DaDa254</v>
      </c>
    </row>
    <row r="256" spans="1:5" x14ac:dyDescent="0.3">
      <c r="A256">
        <v>255</v>
      </c>
      <c r="B256" t="s">
        <v>284</v>
      </c>
      <c r="C256" t="s">
        <v>1005</v>
      </c>
      <c r="D256" t="s">
        <v>1017</v>
      </c>
      <c r="E256" t="str">
        <f t="shared" si="3"/>
        <v>EmDa255</v>
      </c>
    </row>
    <row r="257" spans="1:5" x14ac:dyDescent="0.3">
      <c r="A257">
        <v>256</v>
      </c>
      <c r="B257" t="s">
        <v>182</v>
      </c>
      <c r="C257" t="s">
        <v>1008</v>
      </c>
      <c r="D257" t="s">
        <v>1015</v>
      </c>
      <c r="E257" t="str">
        <f t="shared" si="3"/>
        <v>DaSm256</v>
      </c>
    </row>
    <row r="258" spans="1:5" x14ac:dyDescent="0.3">
      <c r="A258">
        <v>257</v>
      </c>
      <c r="B258" t="s">
        <v>452</v>
      </c>
      <c r="C258" t="s">
        <v>1011</v>
      </c>
      <c r="D258" t="s">
        <v>1018</v>
      </c>
      <c r="E258" t="str">
        <f t="shared" si="3"/>
        <v>JaMi257</v>
      </c>
    </row>
    <row r="259" spans="1:5" x14ac:dyDescent="0.3">
      <c r="A259">
        <v>258</v>
      </c>
      <c r="B259" t="s">
        <v>232</v>
      </c>
      <c r="C259" t="s">
        <v>1008</v>
      </c>
      <c r="D259" t="s">
        <v>1016</v>
      </c>
      <c r="E259" t="str">
        <f t="shared" si="3"/>
        <v>DaBr258</v>
      </c>
    </row>
    <row r="260" spans="1:5" x14ac:dyDescent="0.3">
      <c r="A260">
        <v>259</v>
      </c>
      <c r="B260" t="s">
        <v>432</v>
      </c>
      <c r="C260" t="s">
        <v>1013</v>
      </c>
      <c r="D260" t="s">
        <v>1021</v>
      </c>
      <c r="E260" t="str">
        <f t="shared" ref="E260:E323" si="4">_xlfn.CONCAT(LEFT(C260,2),LEFT(D260,2),A260)</f>
        <v>DaMa259</v>
      </c>
    </row>
    <row r="261" spans="1:5" x14ac:dyDescent="0.3">
      <c r="A261">
        <v>260</v>
      </c>
      <c r="B261" t="s">
        <v>610</v>
      </c>
      <c r="C261" t="s">
        <v>1014</v>
      </c>
      <c r="D261" t="s">
        <v>1022</v>
      </c>
      <c r="E261" t="str">
        <f t="shared" si="4"/>
        <v>SoWi260</v>
      </c>
    </row>
    <row r="262" spans="1:5" x14ac:dyDescent="0.3">
      <c r="A262">
        <v>261</v>
      </c>
      <c r="B262" t="s">
        <v>613</v>
      </c>
      <c r="C262" t="s">
        <v>1011</v>
      </c>
      <c r="D262" t="s">
        <v>1024</v>
      </c>
      <c r="E262" t="str">
        <f t="shared" si="4"/>
        <v>JaGa261</v>
      </c>
    </row>
    <row r="263" spans="1:5" x14ac:dyDescent="0.3">
      <c r="A263">
        <v>262</v>
      </c>
      <c r="B263" t="s">
        <v>409</v>
      </c>
      <c r="C263" t="s">
        <v>1008</v>
      </c>
      <c r="D263" t="s">
        <v>1023</v>
      </c>
      <c r="E263" t="str">
        <f t="shared" si="4"/>
        <v>DaJo262</v>
      </c>
    </row>
    <row r="264" spans="1:5" x14ac:dyDescent="0.3">
      <c r="A264">
        <v>263</v>
      </c>
      <c r="B264" t="s">
        <v>541</v>
      </c>
      <c r="C264" t="s">
        <v>1014</v>
      </c>
      <c r="D264" t="s">
        <v>1016</v>
      </c>
      <c r="E264" t="str">
        <f t="shared" si="4"/>
        <v>SoBr263</v>
      </c>
    </row>
    <row r="265" spans="1:5" x14ac:dyDescent="0.3">
      <c r="A265">
        <v>264</v>
      </c>
      <c r="B265" t="s">
        <v>232</v>
      </c>
      <c r="C265" t="s">
        <v>1008</v>
      </c>
      <c r="D265" t="s">
        <v>1016</v>
      </c>
      <c r="E265" t="str">
        <f t="shared" si="4"/>
        <v>DaBr264</v>
      </c>
    </row>
    <row r="266" spans="1:5" x14ac:dyDescent="0.3">
      <c r="A266">
        <v>265</v>
      </c>
      <c r="B266" t="s">
        <v>284</v>
      </c>
      <c r="C266" t="s">
        <v>1005</v>
      </c>
      <c r="D266" t="s">
        <v>1017</v>
      </c>
      <c r="E266" t="str">
        <f t="shared" si="4"/>
        <v>EmDa265</v>
      </c>
    </row>
    <row r="267" spans="1:5" x14ac:dyDescent="0.3">
      <c r="A267">
        <v>266</v>
      </c>
      <c r="B267" t="s">
        <v>407</v>
      </c>
      <c r="C267" t="s">
        <v>1014</v>
      </c>
      <c r="D267" t="s">
        <v>1017</v>
      </c>
      <c r="E267" t="str">
        <f t="shared" si="4"/>
        <v>SoDa266</v>
      </c>
    </row>
    <row r="268" spans="1:5" x14ac:dyDescent="0.3">
      <c r="A268">
        <v>267</v>
      </c>
      <c r="B268" t="s">
        <v>123</v>
      </c>
      <c r="C268" t="s">
        <v>1010</v>
      </c>
      <c r="D268" t="s">
        <v>1021</v>
      </c>
      <c r="E268" t="str">
        <f t="shared" si="4"/>
        <v>MiMa267</v>
      </c>
    </row>
    <row r="269" spans="1:5" x14ac:dyDescent="0.3">
      <c r="A269">
        <v>268</v>
      </c>
      <c r="B269" t="s">
        <v>438</v>
      </c>
      <c r="C269" t="s">
        <v>1005</v>
      </c>
      <c r="D269" t="s">
        <v>1019</v>
      </c>
      <c r="E269" t="str">
        <f t="shared" si="4"/>
        <v>EmJo268</v>
      </c>
    </row>
    <row r="270" spans="1:5" x14ac:dyDescent="0.3">
      <c r="A270">
        <v>269</v>
      </c>
      <c r="B270" t="s">
        <v>57</v>
      </c>
      <c r="C270" t="s">
        <v>1009</v>
      </c>
      <c r="D270" t="s">
        <v>1020</v>
      </c>
      <c r="E270" t="str">
        <f t="shared" si="4"/>
        <v>EmHe269</v>
      </c>
    </row>
    <row r="271" spans="1:5" x14ac:dyDescent="0.3">
      <c r="A271">
        <v>270</v>
      </c>
      <c r="B271" t="s">
        <v>136</v>
      </c>
      <c r="C271" t="s">
        <v>1006</v>
      </c>
      <c r="D271" t="s">
        <v>1018</v>
      </c>
      <c r="E271" t="str">
        <f t="shared" si="4"/>
        <v>LaMi270</v>
      </c>
    </row>
    <row r="272" spans="1:5" x14ac:dyDescent="0.3">
      <c r="A272">
        <v>271</v>
      </c>
      <c r="B272" t="s">
        <v>633</v>
      </c>
      <c r="C272" t="s">
        <v>1006</v>
      </c>
      <c r="D272" t="s">
        <v>1015</v>
      </c>
      <c r="E272" t="str">
        <f t="shared" si="4"/>
        <v>LaSm271</v>
      </c>
    </row>
    <row r="273" spans="1:5" x14ac:dyDescent="0.3">
      <c r="A273">
        <v>272</v>
      </c>
      <c r="B273" t="s">
        <v>111</v>
      </c>
      <c r="C273" t="s">
        <v>1013</v>
      </c>
      <c r="D273" t="s">
        <v>1017</v>
      </c>
      <c r="E273" t="str">
        <f t="shared" si="4"/>
        <v>DaDa272</v>
      </c>
    </row>
    <row r="274" spans="1:5" x14ac:dyDescent="0.3">
      <c r="A274">
        <v>273</v>
      </c>
      <c r="B274" t="s">
        <v>442</v>
      </c>
      <c r="C274" t="s">
        <v>1007</v>
      </c>
      <c r="D274" t="s">
        <v>1024</v>
      </c>
      <c r="E274" t="str">
        <f t="shared" si="4"/>
        <v>JoGa273</v>
      </c>
    </row>
    <row r="275" spans="1:5" x14ac:dyDescent="0.3">
      <c r="A275">
        <v>274</v>
      </c>
      <c r="B275" t="s">
        <v>284</v>
      </c>
      <c r="C275" t="s">
        <v>1005</v>
      </c>
      <c r="D275" t="s">
        <v>1017</v>
      </c>
      <c r="E275" t="str">
        <f t="shared" si="4"/>
        <v>EmDa274</v>
      </c>
    </row>
    <row r="276" spans="1:5" x14ac:dyDescent="0.3">
      <c r="A276">
        <v>275</v>
      </c>
      <c r="B276" t="s">
        <v>212</v>
      </c>
      <c r="C276" t="s">
        <v>1010</v>
      </c>
      <c r="D276" t="s">
        <v>1022</v>
      </c>
      <c r="E276" t="str">
        <f t="shared" si="4"/>
        <v>MiWi275</v>
      </c>
    </row>
    <row r="277" spans="1:5" x14ac:dyDescent="0.3">
      <c r="A277">
        <v>276</v>
      </c>
      <c r="B277" t="s">
        <v>422</v>
      </c>
      <c r="C277" t="s">
        <v>1010</v>
      </c>
      <c r="D277" t="s">
        <v>1020</v>
      </c>
      <c r="E277" t="str">
        <f t="shared" si="4"/>
        <v>MiHe276</v>
      </c>
    </row>
    <row r="278" spans="1:5" x14ac:dyDescent="0.3">
      <c r="A278">
        <v>277</v>
      </c>
      <c r="B278" t="s">
        <v>541</v>
      </c>
      <c r="C278" t="s">
        <v>1014</v>
      </c>
      <c r="D278" t="s">
        <v>1016</v>
      </c>
      <c r="E278" t="str">
        <f t="shared" si="4"/>
        <v>SoBr277</v>
      </c>
    </row>
    <row r="279" spans="1:5" x14ac:dyDescent="0.3">
      <c r="A279">
        <v>278</v>
      </c>
      <c r="B279" t="s">
        <v>348</v>
      </c>
      <c r="C279" t="s">
        <v>1013</v>
      </c>
      <c r="D279" t="s">
        <v>1020</v>
      </c>
      <c r="E279" t="str">
        <f t="shared" si="4"/>
        <v>DaHe278</v>
      </c>
    </row>
    <row r="280" spans="1:5" x14ac:dyDescent="0.3">
      <c r="A280">
        <v>279</v>
      </c>
      <c r="B280" t="s">
        <v>466</v>
      </c>
      <c r="C280" t="s">
        <v>1012</v>
      </c>
      <c r="D280" t="s">
        <v>1020</v>
      </c>
      <c r="E280" t="str">
        <f t="shared" si="4"/>
        <v>SaHe279</v>
      </c>
    </row>
    <row r="281" spans="1:5" x14ac:dyDescent="0.3">
      <c r="A281">
        <v>280</v>
      </c>
      <c r="B281" t="s">
        <v>148</v>
      </c>
      <c r="C281" t="s">
        <v>1007</v>
      </c>
      <c r="D281" t="s">
        <v>1020</v>
      </c>
      <c r="E281" t="str">
        <f t="shared" si="4"/>
        <v>JoHe280</v>
      </c>
    </row>
    <row r="282" spans="1:5" x14ac:dyDescent="0.3">
      <c r="A282">
        <v>281</v>
      </c>
      <c r="B282" t="s">
        <v>79</v>
      </c>
      <c r="C282" t="s">
        <v>1011</v>
      </c>
      <c r="D282" t="s">
        <v>1017</v>
      </c>
      <c r="E282" t="str">
        <f t="shared" si="4"/>
        <v>JaDa281</v>
      </c>
    </row>
    <row r="283" spans="1:5" x14ac:dyDescent="0.3">
      <c r="A283">
        <v>282</v>
      </c>
      <c r="B283" t="s">
        <v>438</v>
      </c>
      <c r="C283" t="s">
        <v>1005</v>
      </c>
      <c r="D283" t="s">
        <v>1019</v>
      </c>
      <c r="E283" t="str">
        <f t="shared" si="4"/>
        <v>EmJo282</v>
      </c>
    </row>
    <row r="284" spans="1:5" x14ac:dyDescent="0.3">
      <c r="A284">
        <v>283</v>
      </c>
      <c r="B284" t="s">
        <v>154</v>
      </c>
      <c r="C284" t="s">
        <v>1013</v>
      </c>
      <c r="D284" t="s">
        <v>1018</v>
      </c>
      <c r="E284" t="str">
        <f t="shared" si="4"/>
        <v>DaMi283</v>
      </c>
    </row>
    <row r="285" spans="1:5" x14ac:dyDescent="0.3">
      <c r="A285">
        <v>284</v>
      </c>
      <c r="B285" t="s">
        <v>319</v>
      </c>
      <c r="C285" t="s">
        <v>1013</v>
      </c>
      <c r="D285" t="s">
        <v>1019</v>
      </c>
      <c r="E285" t="str">
        <f t="shared" si="4"/>
        <v>DaJo284</v>
      </c>
    </row>
    <row r="286" spans="1:5" x14ac:dyDescent="0.3">
      <c r="A286">
        <v>285</v>
      </c>
      <c r="B286" t="s">
        <v>160</v>
      </c>
      <c r="C286" t="s">
        <v>1012</v>
      </c>
      <c r="D286" t="s">
        <v>1021</v>
      </c>
      <c r="E286" t="str">
        <f t="shared" si="4"/>
        <v>SaMa285</v>
      </c>
    </row>
    <row r="287" spans="1:5" x14ac:dyDescent="0.3">
      <c r="A287">
        <v>286</v>
      </c>
      <c r="B287" t="s">
        <v>143</v>
      </c>
      <c r="C287" t="s">
        <v>1014</v>
      </c>
      <c r="D287" t="s">
        <v>1015</v>
      </c>
      <c r="E287" t="str">
        <f t="shared" si="4"/>
        <v>SoSm286</v>
      </c>
    </row>
    <row r="288" spans="1:5" x14ac:dyDescent="0.3">
      <c r="A288">
        <v>287</v>
      </c>
      <c r="B288" t="s">
        <v>223</v>
      </c>
      <c r="C288" t="s">
        <v>1005</v>
      </c>
      <c r="D288" t="s">
        <v>1022</v>
      </c>
      <c r="E288" t="str">
        <f t="shared" si="4"/>
        <v>EmWi287</v>
      </c>
    </row>
    <row r="289" spans="1:5" x14ac:dyDescent="0.3">
      <c r="A289">
        <v>288</v>
      </c>
      <c r="B289" t="s">
        <v>33</v>
      </c>
      <c r="C289" t="s">
        <v>1007</v>
      </c>
      <c r="D289" t="s">
        <v>1017</v>
      </c>
      <c r="E289" t="str">
        <f t="shared" si="4"/>
        <v>JoDa288</v>
      </c>
    </row>
    <row r="290" spans="1:5" x14ac:dyDescent="0.3">
      <c r="A290">
        <v>289</v>
      </c>
      <c r="B290" t="s">
        <v>319</v>
      </c>
      <c r="C290" t="s">
        <v>1013</v>
      </c>
      <c r="D290" t="s">
        <v>1019</v>
      </c>
      <c r="E290" t="str">
        <f t="shared" si="4"/>
        <v>DaJo289</v>
      </c>
    </row>
    <row r="291" spans="1:5" x14ac:dyDescent="0.3">
      <c r="A291">
        <v>290</v>
      </c>
      <c r="B291" t="s">
        <v>452</v>
      </c>
      <c r="C291" t="s">
        <v>1011</v>
      </c>
      <c r="D291" t="s">
        <v>1018</v>
      </c>
      <c r="E291" t="str">
        <f t="shared" si="4"/>
        <v>JaMi290</v>
      </c>
    </row>
    <row r="292" spans="1:5" x14ac:dyDescent="0.3">
      <c r="A292">
        <v>291</v>
      </c>
      <c r="B292" t="s">
        <v>319</v>
      </c>
      <c r="C292" t="s">
        <v>1013</v>
      </c>
      <c r="D292" t="s">
        <v>1019</v>
      </c>
      <c r="E292" t="str">
        <f t="shared" si="4"/>
        <v>DaJo291</v>
      </c>
    </row>
    <row r="293" spans="1:5" x14ac:dyDescent="0.3">
      <c r="A293">
        <v>292</v>
      </c>
      <c r="B293" t="s">
        <v>442</v>
      </c>
      <c r="C293" t="s">
        <v>1007</v>
      </c>
      <c r="D293" t="s">
        <v>1024</v>
      </c>
      <c r="E293" t="str">
        <f t="shared" si="4"/>
        <v>JoGa292</v>
      </c>
    </row>
    <row r="294" spans="1:5" x14ac:dyDescent="0.3">
      <c r="A294">
        <v>293</v>
      </c>
      <c r="B294" t="s">
        <v>79</v>
      </c>
      <c r="C294" t="s">
        <v>1011</v>
      </c>
      <c r="D294" t="s">
        <v>1017</v>
      </c>
      <c r="E294" t="str">
        <f t="shared" si="4"/>
        <v>JaDa293</v>
      </c>
    </row>
    <row r="295" spans="1:5" x14ac:dyDescent="0.3">
      <c r="A295">
        <v>294</v>
      </c>
      <c r="B295" t="s">
        <v>182</v>
      </c>
      <c r="C295" t="s">
        <v>1008</v>
      </c>
      <c r="D295" t="s">
        <v>1015</v>
      </c>
      <c r="E295" t="str">
        <f t="shared" si="4"/>
        <v>DaSm294</v>
      </c>
    </row>
    <row r="296" spans="1:5" x14ac:dyDescent="0.3">
      <c r="A296">
        <v>295</v>
      </c>
      <c r="B296" t="s">
        <v>72</v>
      </c>
      <c r="C296" t="s">
        <v>1006</v>
      </c>
      <c r="D296" t="s">
        <v>1021</v>
      </c>
      <c r="E296" t="str">
        <f t="shared" si="4"/>
        <v>LaMa295</v>
      </c>
    </row>
    <row r="297" spans="1:5" x14ac:dyDescent="0.3">
      <c r="A297">
        <v>296</v>
      </c>
      <c r="B297" t="s">
        <v>541</v>
      </c>
      <c r="C297" t="s">
        <v>1014</v>
      </c>
      <c r="D297" t="s">
        <v>1016</v>
      </c>
      <c r="E297" t="str">
        <f t="shared" si="4"/>
        <v>SoBr296</v>
      </c>
    </row>
    <row r="298" spans="1:5" x14ac:dyDescent="0.3">
      <c r="A298">
        <v>297</v>
      </c>
      <c r="B298" t="s">
        <v>128</v>
      </c>
      <c r="C298" t="s">
        <v>1006</v>
      </c>
      <c r="D298" t="s">
        <v>1023</v>
      </c>
      <c r="E298" t="str">
        <f t="shared" si="4"/>
        <v>LaJo297</v>
      </c>
    </row>
    <row r="299" spans="1:5" x14ac:dyDescent="0.3">
      <c r="A299">
        <v>298</v>
      </c>
      <c r="B299" t="s">
        <v>232</v>
      </c>
      <c r="C299" t="s">
        <v>1008</v>
      </c>
      <c r="D299" t="s">
        <v>1016</v>
      </c>
      <c r="E299" t="str">
        <f t="shared" si="4"/>
        <v>DaBr298</v>
      </c>
    </row>
    <row r="300" spans="1:5" x14ac:dyDescent="0.3">
      <c r="A300">
        <v>299</v>
      </c>
      <c r="B300" t="s">
        <v>128</v>
      </c>
      <c r="C300" t="s">
        <v>1006</v>
      </c>
      <c r="D300" t="s">
        <v>1023</v>
      </c>
      <c r="E300" t="str">
        <f t="shared" si="4"/>
        <v>LaJo299</v>
      </c>
    </row>
    <row r="301" spans="1:5" x14ac:dyDescent="0.3">
      <c r="A301">
        <v>300</v>
      </c>
      <c r="B301" t="s">
        <v>25</v>
      </c>
      <c r="C301" t="s">
        <v>1006</v>
      </c>
      <c r="D301" t="s">
        <v>1016</v>
      </c>
      <c r="E301" t="str">
        <f t="shared" si="4"/>
        <v>LaBr300</v>
      </c>
    </row>
    <row r="302" spans="1:5" x14ac:dyDescent="0.3">
      <c r="A302">
        <v>301</v>
      </c>
      <c r="B302" t="s">
        <v>114</v>
      </c>
      <c r="C302" t="s">
        <v>1012</v>
      </c>
      <c r="D302" t="s">
        <v>1019</v>
      </c>
      <c r="E302" t="str">
        <f t="shared" si="4"/>
        <v>SaJo301</v>
      </c>
    </row>
    <row r="303" spans="1:5" x14ac:dyDescent="0.3">
      <c r="A303">
        <v>302</v>
      </c>
      <c r="B303" t="s">
        <v>257</v>
      </c>
      <c r="C303" t="s">
        <v>1010</v>
      </c>
      <c r="D303" t="s">
        <v>1017</v>
      </c>
      <c r="E303" t="str">
        <f t="shared" si="4"/>
        <v>MiDa302</v>
      </c>
    </row>
    <row r="304" spans="1:5" x14ac:dyDescent="0.3">
      <c r="A304">
        <v>303</v>
      </c>
      <c r="B304" t="s">
        <v>212</v>
      </c>
      <c r="C304" t="s">
        <v>1010</v>
      </c>
      <c r="D304" t="s">
        <v>1022</v>
      </c>
      <c r="E304" t="str">
        <f t="shared" si="4"/>
        <v>MiWi303</v>
      </c>
    </row>
    <row r="305" spans="1:5" x14ac:dyDescent="0.3">
      <c r="A305">
        <v>304</v>
      </c>
      <c r="B305" t="s">
        <v>198</v>
      </c>
      <c r="C305" t="s">
        <v>1008</v>
      </c>
      <c r="D305" t="s">
        <v>1019</v>
      </c>
      <c r="E305" t="str">
        <f t="shared" si="4"/>
        <v>DaJo304</v>
      </c>
    </row>
    <row r="306" spans="1:5" x14ac:dyDescent="0.3">
      <c r="A306">
        <v>305</v>
      </c>
      <c r="B306" t="s">
        <v>157</v>
      </c>
      <c r="C306" t="s">
        <v>1010</v>
      </c>
      <c r="D306" t="s">
        <v>1015</v>
      </c>
      <c r="E306" t="str">
        <f t="shared" si="4"/>
        <v>MiSm305</v>
      </c>
    </row>
    <row r="307" spans="1:5" x14ac:dyDescent="0.3">
      <c r="A307">
        <v>306</v>
      </c>
      <c r="B307" t="s">
        <v>358</v>
      </c>
      <c r="C307" t="s">
        <v>1007</v>
      </c>
      <c r="D307" t="s">
        <v>1021</v>
      </c>
      <c r="E307" t="str">
        <f t="shared" si="4"/>
        <v>JoMa306</v>
      </c>
    </row>
    <row r="308" spans="1:5" x14ac:dyDescent="0.3">
      <c r="A308">
        <v>307</v>
      </c>
      <c r="B308" t="s">
        <v>466</v>
      </c>
      <c r="C308" t="s">
        <v>1012</v>
      </c>
      <c r="D308" t="s">
        <v>1020</v>
      </c>
      <c r="E308" t="str">
        <f t="shared" si="4"/>
        <v>SaHe307</v>
      </c>
    </row>
    <row r="309" spans="1:5" x14ac:dyDescent="0.3">
      <c r="A309">
        <v>308</v>
      </c>
      <c r="B309" t="s">
        <v>232</v>
      </c>
      <c r="C309" t="s">
        <v>1008</v>
      </c>
      <c r="D309" t="s">
        <v>1016</v>
      </c>
      <c r="E309" t="str">
        <f t="shared" si="4"/>
        <v>DaBr308</v>
      </c>
    </row>
    <row r="310" spans="1:5" x14ac:dyDescent="0.3">
      <c r="A310">
        <v>309</v>
      </c>
      <c r="B310" t="s">
        <v>429</v>
      </c>
      <c r="C310" t="s">
        <v>1007</v>
      </c>
      <c r="D310" t="s">
        <v>1016</v>
      </c>
      <c r="E310" t="str">
        <f t="shared" si="4"/>
        <v>JoBr309</v>
      </c>
    </row>
    <row r="311" spans="1:5" x14ac:dyDescent="0.3">
      <c r="A311">
        <v>310</v>
      </c>
      <c r="B311" t="s">
        <v>79</v>
      </c>
      <c r="C311" t="s">
        <v>1011</v>
      </c>
      <c r="D311" t="s">
        <v>1017</v>
      </c>
      <c r="E311" t="str">
        <f t="shared" si="4"/>
        <v>JaDa310</v>
      </c>
    </row>
    <row r="312" spans="1:5" x14ac:dyDescent="0.3">
      <c r="A312">
        <v>311</v>
      </c>
      <c r="B312" t="s">
        <v>363</v>
      </c>
      <c r="C312" t="s">
        <v>1013</v>
      </c>
      <c r="D312" t="s">
        <v>1024</v>
      </c>
      <c r="E312" t="str">
        <f t="shared" si="4"/>
        <v>DaGa311</v>
      </c>
    </row>
    <row r="313" spans="1:5" x14ac:dyDescent="0.3">
      <c r="A313">
        <v>312</v>
      </c>
      <c r="B313" t="s">
        <v>290</v>
      </c>
      <c r="C313" t="s">
        <v>1014</v>
      </c>
      <c r="D313" t="s">
        <v>1021</v>
      </c>
      <c r="E313" t="str">
        <f t="shared" si="4"/>
        <v>SoMa312</v>
      </c>
    </row>
    <row r="314" spans="1:5" x14ac:dyDescent="0.3">
      <c r="A314">
        <v>313</v>
      </c>
      <c r="B314" t="s">
        <v>148</v>
      </c>
      <c r="C314" t="s">
        <v>1007</v>
      </c>
      <c r="D314" t="s">
        <v>1020</v>
      </c>
      <c r="E314" t="str">
        <f t="shared" si="4"/>
        <v>JoHe313</v>
      </c>
    </row>
    <row r="315" spans="1:5" x14ac:dyDescent="0.3">
      <c r="A315">
        <v>314</v>
      </c>
      <c r="B315" t="s">
        <v>699</v>
      </c>
      <c r="C315" t="s">
        <v>1011</v>
      </c>
      <c r="D315" t="s">
        <v>1023</v>
      </c>
      <c r="E315" t="str">
        <f t="shared" si="4"/>
        <v>JaJo314</v>
      </c>
    </row>
    <row r="316" spans="1:5" x14ac:dyDescent="0.3">
      <c r="A316">
        <v>315</v>
      </c>
      <c r="B316" t="s">
        <v>290</v>
      </c>
      <c r="C316" t="s">
        <v>1014</v>
      </c>
      <c r="D316" t="s">
        <v>1021</v>
      </c>
      <c r="E316" t="str">
        <f t="shared" si="4"/>
        <v>SoMa315</v>
      </c>
    </row>
    <row r="317" spans="1:5" x14ac:dyDescent="0.3">
      <c r="A317">
        <v>316</v>
      </c>
      <c r="B317" t="s">
        <v>541</v>
      </c>
      <c r="C317" t="s">
        <v>1014</v>
      </c>
      <c r="D317" t="s">
        <v>1016</v>
      </c>
      <c r="E317" t="str">
        <f t="shared" si="4"/>
        <v>SoBr316</v>
      </c>
    </row>
    <row r="318" spans="1:5" x14ac:dyDescent="0.3">
      <c r="A318">
        <v>317</v>
      </c>
      <c r="B318" t="s">
        <v>432</v>
      </c>
      <c r="C318" t="s">
        <v>1013</v>
      </c>
      <c r="D318" t="s">
        <v>1021</v>
      </c>
      <c r="E318" t="str">
        <f t="shared" si="4"/>
        <v>DaMa317</v>
      </c>
    </row>
    <row r="319" spans="1:5" x14ac:dyDescent="0.3">
      <c r="A319">
        <v>318</v>
      </c>
      <c r="B319" t="s">
        <v>255</v>
      </c>
      <c r="C319" t="s">
        <v>1006</v>
      </c>
      <c r="D319" t="s">
        <v>1024</v>
      </c>
      <c r="E319" t="str">
        <f t="shared" si="4"/>
        <v>LaGa318</v>
      </c>
    </row>
    <row r="320" spans="1:5" x14ac:dyDescent="0.3">
      <c r="A320">
        <v>319</v>
      </c>
      <c r="B320" t="s">
        <v>358</v>
      </c>
      <c r="C320" t="s">
        <v>1007</v>
      </c>
      <c r="D320" t="s">
        <v>1021</v>
      </c>
      <c r="E320" t="str">
        <f t="shared" si="4"/>
        <v>JoMa319</v>
      </c>
    </row>
    <row r="321" spans="1:5" x14ac:dyDescent="0.3">
      <c r="A321">
        <v>320</v>
      </c>
      <c r="B321" t="s">
        <v>597</v>
      </c>
      <c r="C321" t="s">
        <v>1007</v>
      </c>
      <c r="D321" t="s">
        <v>1015</v>
      </c>
      <c r="E321" t="str">
        <f t="shared" si="4"/>
        <v>JoSm320</v>
      </c>
    </row>
    <row r="322" spans="1:5" x14ac:dyDescent="0.3">
      <c r="A322">
        <v>321</v>
      </c>
      <c r="B322" t="s">
        <v>710</v>
      </c>
      <c r="C322" t="s">
        <v>1007</v>
      </c>
      <c r="D322" t="s">
        <v>1023</v>
      </c>
      <c r="E322" t="str">
        <f t="shared" si="4"/>
        <v>JoJo321</v>
      </c>
    </row>
    <row r="323" spans="1:5" x14ac:dyDescent="0.3">
      <c r="A323">
        <v>322</v>
      </c>
      <c r="B323" t="s">
        <v>128</v>
      </c>
      <c r="C323" t="s">
        <v>1006</v>
      </c>
      <c r="D323" t="s">
        <v>1023</v>
      </c>
      <c r="E323" t="str">
        <f t="shared" si="4"/>
        <v>LaJo322</v>
      </c>
    </row>
    <row r="324" spans="1:5" x14ac:dyDescent="0.3">
      <c r="A324">
        <v>323</v>
      </c>
      <c r="B324" t="s">
        <v>223</v>
      </c>
      <c r="C324" t="s">
        <v>1005</v>
      </c>
      <c r="D324" t="s">
        <v>1022</v>
      </c>
      <c r="E324" t="str">
        <f t="shared" ref="E324:E387" si="5">_xlfn.CONCAT(LEFT(C324,2),LEFT(D324,2),A324)</f>
        <v>EmWi323</v>
      </c>
    </row>
    <row r="325" spans="1:5" x14ac:dyDescent="0.3">
      <c r="A325">
        <v>324</v>
      </c>
      <c r="B325" t="s">
        <v>613</v>
      </c>
      <c r="C325" t="s">
        <v>1011</v>
      </c>
      <c r="D325" t="s">
        <v>1024</v>
      </c>
      <c r="E325" t="str">
        <f t="shared" si="5"/>
        <v>JaGa324</v>
      </c>
    </row>
    <row r="326" spans="1:5" x14ac:dyDescent="0.3">
      <c r="A326">
        <v>325</v>
      </c>
      <c r="B326" t="s">
        <v>541</v>
      </c>
      <c r="C326" t="s">
        <v>1014</v>
      </c>
      <c r="D326" t="s">
        <v>1016</v>
      </c>
      <c r="E326" t="str">
        <f t="shared" si="5"/>
        <v>SoBr325</v>
      </c>
    </row>
    <row r="327" spans="1:5" x14ac:dyDescent="0.3">
      <c r="A327">
        <v>326</v>
      </c>
      <c r="B327" t="s">
        <v>298</v>
      </c>
      <c r="C327" t="s">
        <v>1011</v>
      </c>
      <c r="D327" t="s">
        <v>1022</v>
      </c>
      <c r="E327" t="str">
        <f t="shared" si="5"/>
        <v>JaWi326</v>
      </c>
    </row>
    <row r="328" spans="1:5" x14ac:dyDescent="0.3">
      <c r="A328">
        <v>327</v>
      </c>
      <c r="B328" t="s">
        <v>62</v>
      </c>
      <c r="C328" t="s">
        <v>1007</v>
      </c>
      <c r="D328" t="s">
        <v>1018</v>
      </c>
      <c r="E328" t="str">
        <f t="shared" si="5"/>
        <v>JoMi327</v>
      </c>
    </row>
    <row r="329" spans="1:5" x14ac:dyDescent="0.3">
      <c r="A329">
        <v>328</v>
      </c>
      <c r="B329" t="s">
        <v>384</v>
      </c>
      <c r="C329" t="s">
        <v>1005</v>
      </c>
      <c r="D329" t="s">
        <v>1016</v>
      </c>
      <c r="E329" t="str">
        <f t="shared" si="5"/>
        <v>EmBr328</v>
      </c>
    </row>
    <row r="330" spans="1:5" x14ac:dyDescent="0.3">
      <c r="A330">
        <v>329</v>
      </c>
      <c r="B330" t="s">
        <v>243</v>
      </c>
      <c r="C330" t="s">
        <v>1010</v>
      </c>
      <c r="D330" t="s">
        <v>1024</v>
      </c>
      <c r="E330" t="str">
        <f t="shared" si="5"/>
        <v>MiGa329</v>
      </c>
    </row>
    <row r="331" spans="1:5" x14ac:dyDescent="0.3">
      <c r="A331">
        <v>330</v>
      </c>
      <c r="B331" t="s">
        <v>724</v>
      </c>
      <c r="C331" t="s">
        <v>1005</v>
      </c>
      <c r="D331" t="s">
        <v>1020</v>
      </c>
      <c r="E331" t="str">
        <f t="shared" si="5"/>
        <v>EmHe330</v>
      </c>
    </row>
    <row r="332" spans="1:5" x14ac:dyDescent="0.3">
      <c r="A332">
        <v>331</v>
      </c>
      <c r="B332" t="s">
        <v>301</v>
      </c>
      <c r="C332" t="s">
        <v>1009</v>
      </c>
      <c r="D332" t="s">
        <v>1024</v>
      </c>
      <c r="E332" t="str">
        <f t="shared" si="5"/>
        <v>EmGa331</v>
      </c>
    </row>
    <row r="333" spans="1:5" x14ac:dyDescent="0.3">
      <c r="A333">
        <v>332</v>
      </c>
      <c r="B333" t="s">
        <v>613</v>
      </c>
      <c r="C333" t="s">
        <v>1011</v>
      </c>
      <c r="D333" t="s">
        <v>1024</v>
      </c>
      <c r="E333" t="str">
        <f t="shared" si="5"/>
        <v>JaGa332</v>
      </c>
    </row>
    <row r="334" spans="1:5" x14ac:dyDescent="0.3">
      <c r="A334">
        <v>333</v>
      </c>
      <c r="B334" t="s">
        <v>143</v>
      </c>
      <c r="C334" t="s">
        <v>1014</v>
      </c>
      <c r="D334" t="s">
        <v>1015</v>
      </c>
      <c r="E334" t="str">
        <f t="shared" si="5"/>
        <v>SoSm333</v>
      </c>
    </row>
    <row r="335" spans="1:5" x14ac:dyDescent="0.3">
      <c r="A335">
        <v>334</v>
      </c>
      <c r="B335" t="s">
        <v>140</v>
      </c>
      <c r="C335" t="s">
        <v>1014</v>
      </c>
      <c r="D335" t="s">
        <v>1024</v>
      </c>
      <c r="E335" t="str">
        <f t="shared" si="5"/>
        <v>SoGa334</v>
      </c>
    </row>
    <row r="336" spans="1:5" x14ac:dyDescent="0.3">
      <c r="A336">
        <v>335</v>
      </c>
      <c r="B336" t="s">
        <v>111</v>
      </c>
      <c r="C336" t="s">
        <v>1013</v>
      </c>
      <c r="D336" t="s">
        <v>1017</v>
      </c>
      <c r="E336" t="str">
        <f t="shared" si="5"/>
        <v>DaDa335</v>
      </c>
    </row>
    <row r="337" spans="1:5" x14ac:dyDescent="0.3">
      <c r="A337">
        <v>336</v>
      </c>
      <c r="B337" t="s">
        <v>151</v>
      </c>
      <c r="C337" t="s">
        <v>1006</v>
      </c>
      <c r="D337" t="s">
        <v>1022</v>
      </c>
      <c r="E337" t="str">
        <f t="shared" si="5"/>
        <v>LaWi336</v>
      </c>
    </row>
    <row r="338" spans="1:5" x14ac:dyDescent="0.3">
      <c r="A338">
        <v>337</v>
      </c>
      <c r="B338" t="s">
        <v>106</v>
      </c>
      <c r="C338" t="s">
        <v>1010</v>
      </c>
      <c r="D338" t="s">
        <v>1018</v>
      </c>
      <c r="E338" t="str">
        <f t="shared" si="5"/>
        <v>MiMi337</v>
      </c>
    </row>
    <row r="339" spans="1:5" x14ac:dyDescent="0.3">
      <c r="A339">
        <v>338</v>
      </c>
      <c r="B339" t="s">
        <v>16</v>
      </c>
      <c r="C339" t="s">
        <v>1005</v>
      </c>
      <c r="D339" t="s">
        <v>1015</v>
      </c>
      <c r="E339" t="str">
        <f t="shared" si="5"/>
        <v>EmSm338</v>
      </c>
    </row>
    <row r="340" spans="1:5" x14ac:dyDescent="0.3">
      <c r="A340">
        <v>339</v>
      </c>
      <c r="B340" t="s">
        <v>301</v>
      </c>
      <c r="C340" t="s">
        <v>1009</v>
      </c>
      <c r="D340" t="s">
        <v>1024</v>
      </c>
      <c r="E340" t="str">
        <f t="shared" si="5"/>
        <v>EmGa339</v>
      </c>
    </row>
    <row r="341" spans="1:5" x14ac:dyDescent="0.3">
      <c r="A341">
        <v>340</v>
      </c>
      <c r="B341" t="s">
        <v>506</v>
      </c>
      <c r="C341" t="s">
        <v>1012</v>
      </c>
      <c r="D341" t="s">
        <v>1023</v>
      </c>
      <c r="E341" t="str">
        <f t="shared" si="5"/>
        <v>SaJo340</v>
      </c>
    </row>
    <row r="342" spans="1:5" x14ac:dyDescent="0.3">
      <c r="A342">
        <v>341</v>
      </c>
      <c r="B342" t="s">
        <v>143</v>
      </c>
      <c r="C342" t="s">
        <v>1014</v>
      </c>
      <c r="D342" t="s">
        <v>1015</v>
      </c>
      <c r="E342" t="str">
        <f t="shared" si="5"/>
        <v>SoSm341</v>
      </c>
    </row>
    <row r="343" spans="1:5" x14ac:dyDescent="0.3">
      <c r="A343">
        <v>342</v>
      </c>
      <c r="B343" t="s">
        <v>699</v>
      </c>
      <c r="C343" t="s">
        <v>1011</v>
      </c>
      <c r="D343" t="s">
        <v>1023</v>
      </c>
      <c r="E343" t="str">
        <f t="shared" si="5"/>
        <v>JaJo342</v>
      </c>
    </row>
    <row r="344" spans="1:5" x14ac:dyDescent="0.3">
      <c r="A344">
        <v>343</v>
      </c>
      <c r="B344" t="s">
        <v>25</v>
      </c>
      <c r="C344" t="s">
        <v>1006</v>
      </c>
      <c r="D344" t="s">
        <v>1016</v>
      </c>
      <c r="E344" t="str">
        <f t="shared" si="5"/>
        <v>LaBr343</v>
      </c>
    </row>
    <row r="345" spans="1:5" x14ac:dyDescent="0.3">
      <c r="A345">
        <v>344</v>
      </c>
      <c r="B345" t="s">
        <v>204</v>
      </c>
      <c r="C345" t="s">
        <v>1012</v>
      </c>
      <c r="D345" t="s">
        <v>1024</v>
      </c>
      <c r="E345" t="str">
        <f t="shared" si="5"/>
        <v>SaGa344</v>
      </c>
    </row>
    <row r="346" spans="1:5" x14ac:dyDescent="0.3">
      <c r="A346">
        <v>345</v>
      </c>
      <c r="B346" t="s">
        <v>16</v>
      </c>
      <c r="C346" t="s">
        <v>1005</v>
      </c>
      <c r="D346" t="s">
        <v>1015</v>
      </c>
      <c r="E346" t="str">
        <f t="shared" si="5"/>
        <v>EmSm345</v>
      </c>
    </row>
    <row r="347" spans="1:5" x14ac:dyDescent="0.3">
      <c r="A347">
        <v>346</v>
      </c>
      <c r="B347" t="s">
        <v>163</v>
      </c>
      <c r="C347" t="s">
        <v>1005</v>
      </c>
      <c r="D347" t="s">
        <v>1024</v>
      </c>
      <c r="E347" t="str">
        <f t="shared" si="5"/>
        <v>EmGa346</v>
      </c>
    </row>
    <row r="348" spans="1:5" x14ac:dyDescent="0.3">
      <c r="A348">
        <v>347</v>
      </c>
      <c r="B348" t="s">
        <v>38</v>
      </c>
      <c r="C348" t="s">
        <v>1008</v>
      </c>
      <c r="D348" t="s">
        <v>1018</v>
      </c>
      <c r="E348" t="str">
        <f t="shared" si="5"/>
        <v>DaMi347</v>
      </c>
    </row>
    <row r="349" spans="1:5" x14ac:dyDescent="0.3">
      <c r="A349">
        <v>348</v>
      </c>
      <c r="B349" t="s">
        <v>290</v>
      </c>
      <c r="C349" t="s">
        <v>1014</v>
      </c>
      <c r="D349" t="s">
        <v>1021</v>
      </c>
      <c r="E349" t="str">
        <f t="shared" si="5"/>
        <v>SoMa348</v>
      </c>
    </row>
    <row r="350" spans="1:5" x14ac:dyDescent="0.3">
      <c r="A350">
        <v>349</v>
      </c>
      <c r="B350" t="s">
        <v>284</v>
      </c>
      <c r="C350" t="s">
        <v>1005</v>
      </c>
      <c r="D350" t="s">
        <v>1017</v>
      </c>
      <c r="E350" t="str">
        <f t="shared" si="5"/>
        <v>EmDa349</v>
      </c>
    </row>
    <row r="351" spans="1:5" x14ac:dyDescent="0.3">
      <c r="A351">
        <v>350</v>
      </c>
      <c r="B351" t="s">
        <v>757</v>
      </c>
      <c r="C351" t="s">
        <v>1007</v>
      </c>
      <c r="D351" t="s">
        <v>1022</v>
      </c>
      <c r="E351" t="str">
        <f t="shared" si="5"/>
        <v>JoWi350</v>
      </c>
    </row>
    <row r="352" spans="1:5" x14ac:dyDescent="0.3">
      <c r="A352">
        <v>351</v>
      </c>
      <c r="B352" t="s">
        <v>215</v>
      </c>
      <c r="C352" t="s">
        <v>1011</v>
      </c>
      <c r="D352" t="s">
        <v>1020</v>
      </c>
      <c r="E352" t="str">
        <f t="shared" si="5"/>
        <v>JaHe351</v>
      </c>
    </row>
    <row r="353" spans="1:5" x14ac:dyDescent="0.3">
      <c r="A353">
        <v>352</v>
      </c>
      <c r="B353" t="s">
        <v>699</v>
      </c>
      <c r="C353" t="s">
        <v>1011</v>
      </c>
      <c r="D353" t="s">
        <v>1023</v>
      </c>
      <c r="E353" t="str">
        <f t="shared" si="5"/>
        <v>JaJo352</v>
      </c>
    </row>
    <row r="354" spans="1:5" x14ac:dyDescent="0.3">
      <c r="A354">
        <v>353</v>
      </c>
      <c r="B354" t="s">
        <v>182</v>
      </c>
      <c r="C354" t="s">
        <v>1008</v>
      </c>
      <c r="D354" t="s">
        <v>1015</v>
      </c>
      <c r="E354" t="str">
        <f t="shared" si="5"/>
        <v>DaSm353</v>
      </c>
    </row>
    <row r="355" spans="1:5" x14ac:dyDescent="0.3">
      <c r="A355">
        <v>354</v>
      </c>
      <c r="B355" t="s">
        <v>157</v>
      </c>
      <c r="C355" t="s">
        <v>1010</v>
      </c>
      <c r="D355" t="s">
        <v>1015</v>
      </c>
      <c r="E355" t="str">
        <f t="shared" si="5"/>
        <v>MiSm354</v>
      </c>
    </row>
    <row r="356" spans="1:5" x14ac:dyDescent="0.3">
      <c r="A356">
        <v>355</v>
      </c>
      <c r="B356" t="s">
        <v>160</v>
      </c>
      <c r="C356" t="s">
        <v>1012</v>
      </c>
      <c r="D356" t="s">
        <v>1021</v>
      </c>
      <c r="E356" t="str">
        <f t="shared" si="5"/>
        <v>SaMa355</v>
      </c>
    </row>
    <row r="357" spans="1:5" x14ac:dyDescent="0.3">
      <c r="A357">
        <v>356</v>
      </c>
      <c r="B357" t="s">
        <v>288</v>
      </c>
      <c r="C357" t="s">
        <v>1011</v>
      </c>
      <c r="D357" t="s">
        <v>1019</v>
      </c>
      <c r="E357" t="str">
        <f t="shared" si="5"/>
        <v>JaJo356</v>
      </c>
    </row>
    <row r="358" spans="1:5" x14ac:dyDescent="0.3">
      <c r="A358">
        <v>357</v>
      </c>
      <c r="B358" t="s">
        <v>252</v>
      </c>
      <c r="C358" t="s">
        <v>1014</v>
      </c>
      <c r="D358" t="s">
        <v>1018</v>
      </c>
      <c r="E358" t="str">
        <f t="shared" si="5"/>
        <v>SoMi357</v>
      </c>
    </row>
    <row r="359" spans="1:5" x14ac:dyDescent="0.3">
      <c r="A359">
        <v>358</v>
      </c>
      <c r="B359" t="s">
        <v>238</v>
      </c>
      <c r="C359" t="s">
        <v>1010</v>
      </c>
      <c r="D359" t="s">
        <v>1023</v>
      </c>
      <c r="E359" t="str">
        <f t="shared" si="5"/>
        <v>MiJo358</v>
      </c>
    </row>
    <row r="360" spans="1:5" x14ac:dyDescent="0.3">
      <c r="A360">
        <v>359</v>
      </c>
      <c r="B360" t="s">
        <v>117</v>
      </c>
      <c r="C360" t="s">
        <v>1014</v>
      </c>
      <c r="D360" t="s">
        <v>1020</v>
      </c>
      <c r="E360" t="str">
        <f t="shared" si="5"/>
        <v>SoHe359</v>
      </c>
    </row>
    <row r="361" spans="1:5" x14ac:dyDescent="0.3">
      <c r="A361">
        <v>360</v>
      </c>
      <c r="B361" t="s">
        <v>506</v>
      </c>
      <c r="C361" t="s">
        <v>1012</v>
      </c>
      <c r="D361" t="s">
        <v>1023</v>
      </c>
      <c r="E361" t="str">
        <f t="shared" si="5"/>
        <v>SaJo360</v>
      </c>
    </row>
    <row r="362" spans="1:5" x14ac:dyDescent="0.3">
      <c r="A362">
        <v>361</v>
      </c>
      <c r="B362" t="s">
        <v>76</v>
      </c>
      <c r="C362" t="s">
        <v>1011</v>
      </c>
      <c r="D362" t="s">
        <v>1021</v>
      </c>
      <c r="E362" t="str">
        <f t="shared" si="5"/>
        <v>JaMa361</v>
      </c>
    </row>
    <row r="363" spans="1:5" x14ac:dyDescent="0.3">
      <c r="A363">
        <v>362</v>
      </c>
      <c r="B363" t="s">
        <v>407</v>
      </c>
      <c r="C363" t="s">
        <v>1014</v>
      </c>
      <c r="D363" t="s">
        <v>1017</v>
      </c>
      <c r="E363" t="str">
        <f t="shared" si="5"/>
        <v>SoDa362</v>
      </c>
    </row>
    <row r="364" spans="1:5" x14ac:dyDescent="0.3">
      <c r="A364">
        <v>363</v>
      </c>
      <c r="B364" t="s">
        <v>235</v>
      </c>
      <c r="C364" t="s">
        <v>1008</v>
      </c>
      <c r="D364" t="s">
        <v>1021</v>
      </c>
      <c r="E364" t="str">
        <f t="shared" si="5"/>
        <v>DaMa363</v>
      </c>
    </row>
    <row r="365" spans="1:5" x14ac:dyDescent="0.3">
      <c r="A365">
        <v>364</v>
      </c>
      <c r="B365" t="s">
        <v>223</v>
      </c>
      <c r="C365" t="s">
        <v>1005</v>
      </c>
      <c r="D365" t="s">
        <v>1022</v>
      </c>
      <c r="E365" t="str">
        <f t="shared" si="5"/>
        <v>EmWi364</v>
      </c>
    </row>
    <row r="366" spans="1:5" x14ac:dyDescent="0.3">
      <c r="A366">
        <v>365</v>
      </c>
      <c r="B366" t="s">
        <v>478</v>
      </c>
      <c r="C366" t="s">
        <v>1009</v>
      </c>
      <c r="D366" t="s">
        <v>1018</v>
      </c>
      <c r="E366" t="str">
        <f t="shared" si="5"/>
        <v>EmMi365</v>
      </c>
    </row>
    <row r="367" spans="1:5" x14ac:dyDescent="0.3">
      <c r="A367">
        <v>366</v>
      </c>
      <c r="B367" t="s">
        <v>201</v>
      </c>
      <c r="C367" t="s">
        <v>1014</v>
      </c>
      <c r="D367" t="s">
        <v>1023</v>
      </c>
      <c r="E367" t="str">
        <f t="shared" si="5"/>
        <v>SoJo366</v>
      </c>
    </row>
    <row r="368" spans="1:5" x14ac:dyDescent="0.3">
      <c r="A368">
        <v>367</v>
      </c>
      <c r="B368" t="s">
        <v>157</v>
      </c>
      <c r="C368" t="s">
        <v>1010</v>
      </c>
      <c r="D368" t="s">
        <v>1015</v>
      </c>
      <c r="E368" t="str">
        <f t="shared" si="5"/>
        <v>MiSm367</v>
      </c>
    </row>
    <row r="369" spans="1:5" x14ac:dyDescent="0.3">
      <c r="A369">
        <v>368</v>
      </c>
      <c r="B369" t="s">
        <v>123</v>
      </c>
      <c r="C369" t="s">
        <v>1010</v>
      </c>
      <c r="D369" t="s">
        <v>1021</v>
      </c>
      <c r="E369" t="str">
        <f t="shared" si="5"/>
        <v>MiMa368</v>
      </c>
    </row>
    <row r="370" spans="1:5" x14ac:dyDescent="0.3">
      <c r="A370">
        <v>369</v>
      </c>
      <c r="B370" t="s">
        <v>384</v>
      </c>
      <c r="C370" t="s">
        <v>1005</v>
      </c>
      <c r="D370" t="s">
        <v>1016</v>
      </c>
      <c r="E370" t="str">
        <f t="shared" si="5"/>
        <v>EmBr369</v>
      </c>
    </row>
    <row r="371" spans="1:5" x14ac:dyDescent="0.3">
      <c r="A371">
        <v>370</v>
      </c>
      <c r="B371" t="s">
        <v>235</v>
      </c>
      <c r="C371" t="s">
        <v>1008</v>
      </c>
      <c r="D371" t="s">
        <v>1021</v>
      </c>
      <c r="E371" t="str">
        <f t="shared" si="5"/>
        <v>DaMa370</v>
      </c>
    </row>
    <row r="372" spans="1:5" x14ac:dyDescent="0.3">
      <c r="A372">
        <v>371</v>
      </c>
      <c r="B372" t="s">
        <v>327</v>
      </c>
      <c r="C372" t="s">
        <v>1005</v>
      </c>
      <c r="D372" t="s">
        <v>1018</v>
      </c>
      <c r="E372" t="str">
        <f t="shared" si="5"/>
        <v>EmMi371</v>
      </c>
    </row>
    <row r="373" spans="1:5" x14ac:dyDescent="0.3">
      <c r="A373">
        <v>372</v>
      </c>
      <c r="B373" t="s">
        <v>526</v>
      </c>
      <c r="C373" t="s">
        <v>1013</v>
      </c>
      <c r="D373" t="s">
        <v>1016</v>
      </c>
      <c r="E373" t="str">
        <f t="shared" si="5"/>
        <v>DaBr372</v>
      </c>
    </row>
    <row r="374" spans="1:5" x14ac:dyDescent="0.3">
      <c r="A374">
        <v>373</v>
      </c>
      <c r="B374" t="s">
        <v>57</v>
      </c>
      <c r="C374" t="s">
        <v>1009</v>
      </c>
      <c r="D374" t="s">
        <v>1020</v>
      </c>
      <c r="E374" t="str">
        <f t="shared" si="5"/>
        <v>EmHe373</v>
      </c>
    </row>
    <row r="375" spans="1:5" x14ac:dyDescent="0.3">
      <c r="A375">
        <v>374</v>
      </c>
      <c r="B375" t="s">
        <v>128</v>
      </c>
      <c r="C375" t="s">
        <v>1006</v>
      </c>
      <c r="D375" t="s">
        <v>1023</v>
      </c>
      <c r="E375" t="str">
        <f t="shared" si="5"/>
        <v>LaJo374</v>
      </c>
    </row>
    <row r="376" spans="1:5" x14ac:dyDescent="0.3">
      <c r="A376">
        <v>375</v>
      </c>
      <c r="B376" t="s">
        <v>447</v>
      </c>
      <c r="C376" t="s">
        <v>1005</v>
      </c>
      <c r="D376" t="s">
        <v>1023</v>
      </c>
      <c r="E376" t="str">
        <f t="shared" si="5"/>
        <v>EmJo375</v>
      </c>
    </row>
    <row r="377" spans="1:5" x14ac:dyDescent="0.3">
      <c r="A377">
        <v>376</v>
      </c>
      <c r="B377" t="s">
        <v>348</v>
      </c>
      <c r="C377" t="s">
        <v>1013</v>
      </c>
      <c r="D377" t="s">
        <v>1020</v>
      </c>
      <c r="E377" t="str">
        <f t="shared" si="5"/>
        <v>DaHe376</v>
      </c>
    </row>
    <row r="378" spans="1:5" x14ac:dyDescent="0.3">
      <c r="A378">
        <v>377</v>
      </c>
      <c r="B378" t="s">
        <v>62</v>
      </c>
      <c r="C378" t="s">
        <v>1007</v>
      </c>
      <c r="D378" t="s">
        <v>1018</v>
      </c>
      <c r="E378" t="str">
        <f t="shared" si="5"/>
        <v>JoMi377</v>
      </c>
    </row>
    <row r="379" spans="1:5" x14ac:dyDescent="0.3">
      <c r="A379">
        <v>378</v>
      </c>
      <c r="B379" t="s">
        <v>506</v>
      </c>
      <c r="C379" t="s">
        <v>1012</v>
      </c>
      <c r="D379" t="s">
        <v>1023</v>
      </c>
      <c r="E379" t="str">
        <f t="shared" si="5"/>
        <v>SaJo378</v>
      </c>
    </row>
    <row r="380" spans="1:5" x14ac:dyDescent="0.3">
      <c r="A380">
        <v>379</v>
      </c>
      <c r="B380" t="s">
        <v>163</v>
      </c>
      <c r="C380" t="s">
        <v>1005</v>
      </c>
      <c r="D380" t="s">
        <v>1024</v>
      </c>
      <c r="E380" t="str">
        <f t="shared" si="5"/>
        <v>EmGa379</v>
      </c>
    </row>
    <row r="381" spans="1:5" x14ac:dyDescent="0.3">
      <c r="A381">
        <v>380</v>
      </c>
      <c r="B381" t="s">
        <v>553</v>
      </c>
      <c r="C381" t="s">
        <v>1009</v>
      </c>
      <c r="D381" t="s">
        <v>1023</v>
      </c>
      <c r="E381" t="str">
        <f t="shared" si="5"/>
        <v>EmJo380</v>
      </c>
    </row>
    <row r="382" spans="1:5" x14ac:dyDescent="0.3">
      <c r="A382">
        <v>381</v>
      </c>
      <c r="B382" t="s">
        <v>422</v>
      </c>
      <c r="C382" t="s">
        <v>1010</v>
      </c>
      <c r="D382" t="s">
        <v>1020</v>
      </c>
      <c r="E382" t="str">
        <f t="shared" si="5"/>
        <v>MiHe381</v>
      </c>
    </row>
    <row r="383" spans="1:5" x14ac:dyDescent="0.3">
      <c r="A383">
        <v>382</v>
      </c>
      <c r="B383" t="s">
        <v>442</v>
      </c>
      <c r="C383" t="s">
        <v>1007</v>
      </c>
      <c r="D383" t="s">
        <v>1024</v>
      </c>
      <c r="E383" t="str">
        <f t="shared" si="5"/>
        <v>JoGa382</v>
      </c>
    </row>
    <row r="384" spans="1:5" x14ac:dyDescent="0.3">
      <c r="A384">
        <v>383</v>
      </c>
      <c r="B384" t="s">
        <v>243</v>
      </c>
      <c r="C384" t="s">
        <v>1010</v>
      </c>
      <c r="D384" t="s">
        <v>1024</v>
      </c>
      <c r="E384" t="str">
        <f t="shared" si="5"/>
        <v>MiGa383</v>
      </c>
    </row>
    <row r="385" spans="1:5" x14ac:dyDescent="0.3">
      <c r="A385">
        <v>384</v>
      </c>
      <c r="B385" t="s">
        <v>62</v>
      </c>
      <c r="C385" t="s">
        <v>1007</v>
      </c>
      <c r="D385" t="s">
        <v>1018</v>
      </c>
      <c r="E385" t="str">
        <f t="shared" si="5"/>
        <v>JoMi384</v>
      </c>
    </row>
    <row r="386" spans="1:5" x14ac:dyDescent="0.3">
      <c r="A386">
        <v>385</v>
      </c>
      <c r="B386" t="s">
        <v>442</v>
      </c>
      <c r="C386" t="s">
        <v>1007</v>
      </c>
      <c r="D386" t="s">
        <v>1024</v>
      </c>
      <c r="E386" t="str">
        <f t="shared" si="5"/>
        <v>JoGa385</v>
      </c>
    </row>
    <row r="387" spans="1:5" x14ac:dyDescent="0.3">
      <c r="A387">
        <v>386</v>
      </c>
      <c r="B387" t="s">
        <v>136</v>
      </c>
      <c r="C387" t="s">
        <v>1006</v>
      </c>
      <c r="D387" t="s">
        <v>1018</v>
      </c>
      <c r="E387" t="str">
        <f t="shared" si="5"/>
        <v>LaMi386</v>
      </c>
    </row>
    <row r="388" spans="1:5" x14ac:dyDescent="0.3">
      <c r="A388">
        <v>387</v>
      </c>
      <c r="B388" t="s">
        <v>255</v>
      </c>
      <c r="C388" t="s">
        <v>1006</v>
      </c>
      <c r="D388" t="s">
        <v>1024</v>
      </c>
      <c r="E388" t="str">
        <f t="shared" ref="E388:E451" si="6">_xlfn.CONCAT(LEFT(C388,2),LEFT(D388,2),A388)</f>
        <v>LaGa387</v>
      </c>
    </row>
    <row r="389" spans="1:5" x14ac:dyDescent="0.3">
      <c r="A389">
        <v>388</v>
      </c>
      <c r="B389" t="s">
        <v>336</v>
      </c>
      <c r="C389" t="s">
        <v>1005</v>
      </c>
      <c r="D389" t="s">
        <v>1021</v>
      </c>
      <c r="E389" t="str">
        <f t="shared" si="6"/>
        <v>EmMa388</v>
      </c>
    </row>
    <row r="390" spans="1:5" x14ac:dyDescent="0.3">
      <c r="A390">
        <v>389</v>
      </c>
      <c r="B390" t="s">
        <v>131</v>
      </c>
      <c r="C390" t="s">
        <v>1010</v>
      </c>
      <c r="D390" t="s">
        <v>1016</v>
      </c>
      <c r="E390" t="str">
        <f t="shared" si="6"/>
        <v>MiBr389</v>
      </c>
    </row>
    <row r="391" spans="1:5" x14ac:dyDescent="0.3">
      <c r="A391">
        <v>390</v>
      </c>
      <c r="B391" t="s">
        <v>92</v>
      </c>
      <c r="C391" t="s">
        <v>1013</v>
      </c>
      <c r="D391" t="s">
        <v>1022</v>
      </c>
      <c r="E391" t="str">
        <f t="shared" si="6"/>
        <v>DaWi390</v>
      </c>
    </row>
    <row r="392" spans="1:5" x14ac:dyDescent="0.3">
      <c r="A392">
        <v>391</v>
      </c>
      <c r="B392" t="s">
        <v>16</v>
      </c>
      <c r="C392" t="s">
        <v>1005</v>
      </c>
      <c r="D392" t="s">
        <v>1015</v>
      </c>
      <c r="E392" t="str">
        <f t="shared" si="6"/>
        <v>EmSm391</v>
      </c>
    </row>
    <row r="393" spans="1:5" x14ac:dyDescent="0.3">
      <c r="A393">
        <v>392</v>
      </c>
      <c r="B393" t="s">
        <v>442</v>
      </c>
      <c r="C393" t="s">
        <v>1007</v>
      </c>
      <c r="D393" t="s">
        <v>1024</v>
      </c>
      <c r="E393" t="str">
        <f t="shared" si="6"/>
        <v>JoGa392</v>
      </c>
    </row>
    <row r="394" spans="1:5" x14ac:dyDescent="0.3">
      <c r="A394">
        <v>393</v>
      </c>
      <c r="B394" t="s">
        <v>232</v>
      </c>
      <c r="C394" t="s">
        <v>1008</v>
      </c>
      <c r="D394" t="s">
        <v>1016</v>
      </c>
      <c r="E394" t="str">
        <f t="shared" si="6"/>
        <v>DaBr393</v>
      </c>
    </row>
    <row r="395" spans="1:5" x14ac:dyDescent="0.3">
      <c r="A395">
        <v>394</v>
      </c>
      <c r="B395" t="s">
        <v>232</v>
      </c>
      <c r="C395" t="s">
        <v>1008</v>
      </c>
      <c r="D395" t="s">
        <v>1016</v>
      </c>
      <c r="E395" t="str">
        <f t="shared" si="6"/>
        <v>DaBr394</v>
      </c>
    </row>
    <row r="396" spans="1:5" x14ac:dyDescent="0.3">
      <c r="A396">
        <v>395</v>
      </c>
      <c r="B396" t="s">
        <v>204</v>
      </c>
      <c r="C396" t="s">
        <v>1012</v>
      </c>
      <c r="D396" t="s">
        <v>1024</v>
      </c>
      <c r="E396" t="str">
        <f t="shared" si="6"/>
        <v>SaGa395</v>
      </c>
    </row>
    <row r="397" spans="1:5" x14ac:dyDescent="0.3">
      <c r="A397">
        <v>396</v>
      </c>
      <c r="B397" t="s">
        <v>488</v>
      </c>
      <c r="C397" t="s">
        <v>1008</v>
      </c>
      <c r="D397" t="s">
        <v>1024</v>
      </c>
      <c r="E397" t="str">
        <f t="shared" si="6"/>
        <v>DaGa396</v>
      </c>
    </row>
    <row r="398" spans="1:5" x14ac:dyDescent="0.3">
      <c r="A398">
        <v>397</v>
      </c>
      <c r="B398" t="s">
        <v>597</v>
      </c>
      <c r="C398" t="s">
        <v>1007</v>
      </c>
      <c r="D398" t="s">
        <v>1015</v>
      </c>
      <c r="E398" t="str">
        <f t="shared" si="6"/>
        <v>JoSm397</v>
      </c>
    </row>
    <row r="399" spans="1:5" x14ac:dyDescent="0.3">
      <c r="A399">
        <v>398</v>
      </c>
      <c r="B399" t="s">
        <v>301</v>
      </c>
      <c r="C399" t="s">
        <v>1009</v>
      </c>
      <c r="D399" t="s">
        <v>1024</v>
      </c>
      <c r="E399" t="str">
        <f t="shared" si="6"/>
        <v>EmGa398</v>
      </c>
    </row>
    <row r="400" spans="1:5" x14ac:dyDescent="0.3">
      <c r="A400">
        <v>399</v>
      </c>
      <c r="B400" t="s">
        <v>274</v>
      </c>
      <c r="C400" t="s">
        <v>1006</v>
      </c>
      <c r="D400" t="s">
        <v>1020</v>
      </c>
      <c r="E400" t="str">
        <f t="shared" si="6"/>
        <v>LaHe399</v>
      </c>
    </row>
    <row r="401" spans="1:5" x14ac:dyDescent="0.3">
      <c r="A401">
        <v>400</v>
      </c>
      <c r="B401" t="s">
        <v>248</v>
      </c>
      <c r="C401" t="s">
        <v>1013</v>
      </c>
      <c r="D401" t="s">
        <v>1015</v>
      </c>
      <c r="E401" t="str">
        <f t="shared" si="6"/>
        <v>DaSm400</v>
      </c>
    </row>
    <row r="402" spans="1:5" x14ac:dyDescent="0.3">
      <c r="A402">
        <v>401</v>
      </c>
      <c r="B402" t="s">
        <v>710</v>
      </c>
      <c r="C402" t="s">
        <v>1007</v>
      </c>
      <c r="D402" t="s">
        <v>1023</v>
      </c>
      <c r="E402" t="str">
        <f t="shared" si="6"/>
        <v>JoJo401</v>
      </c>
    </row>
    <row r="403" spans="1:5" x14ac:dyDescent="0.3">
      <c r="A403">
        <v>402</v>
      </c>
      <c r="B403" t="s">
        <v>429</v>
      </c>
      <c r="C403" t="s">
        <v>1007</v>
      </c>
      <c r="D403" t="s">
        <v>1016</v>
      </c>
      <c r="E403" t="str">
        <f t="shared" si="6"/>
        <v>JoBr402</v>
      </c>
    </row>
    <row r="404" spans="1:5" x14ac:dyDescent="0.3">
      <c r="A404">
        <v>403</v>
      </c>
      <c r="B404" t="s">
        <v>72</v>
      </c>
      <c r="C404" t="s">
        <v>1006</v>
      </c>
      <c r="D404" t="s">
        <v>1021</v>
      </c>
      <c r="E404" t="str">
        <f t="shared" si="6"/>
        <v>LaMa403</v>
      </c>
    </row>
    <row r="405" spans="1:5" x14ac:dyDescent="0.3">
      <c r="A405">
        <v>404</v>
      </c>
      <c r="B405" t="s">
        <v>319</v>
      </c>
      <c r="C405" t="s">
        <v>1013</v>
      </c>
      <c r="D405" t="s">
        <v>1019</v>
      </c>
      <c r="E405" t="str">
        <f t="shared" si="6"/>
        <v>DaJo404</v>
      </c>
    </row>
    <row r="406" spans="1:5" x14ac:dyDescent="0.3">
      <c r="A406">
        <v>405</v>
      </c>
      <c r="B406" t="s">
        <v>193</v>
      </c>
      <c r="C406" t="s">
        <v>1009</v>
      </c>
      <c r="D406" t="s">
        <v>1021</v>
      </c>
      <c r="E406" t="str">
        <f t="shared" si="6"/>
        <v>EmMa405</v>
      </c>
    </row>
    <row r="407" spans="1:5" x14ac:dyDescent="0.3">
      <c r="A407">
        <v>406</v>
      </c>
      <c r="B407" t="s">
        <v>377</v>
      </c>
      <c r="C407" t="s">
        <v>1011</v>
      </c>
      <c r="D407" t="s">
        <v>1015</v>
      </c>
      <c r="E407" t="str">
        <f t="shared" si="6"/>
        <v>JaSm406</v>
      </c>
    </row>
    <row r="408" spans="1:5" x14ac:dyDescent="0.3">
      <c r="A408">
        <v>407</v>
      </c>
      <c r="B408" t="s">
        <v>131</v>
      </c>
      <c r="C408" t="s">
        <v>1010</v>
      </c>
      <c r="D408" t="s">
        <v>1016</v>
      </c>
      <c r="E408" t="str">
        <f t="shared" si="6"/>
        <v>MiBr407</v>
      </c>
    </row>
    <row r="409" spans="1:5" x14ac:dyDescent="0.3">
      <c r="A409">
        <v>408</v>
      </c>
      <c r="B409" t="s">
        <v>151</v>
      </c>
      <c r="C409" t="s">
        <v>1006</v>
      </c>
      <c r="D409" t="s">
        <v>1022</v>
      </c>
      <c r="E409" t="str">
        <f t="shared" si="6"/>
        <v>LaWi408</v>
      </c>
    </row>
    <row r="410" spans="1:5" x14ac:dyDescent="0.3">
      <c r="A410">
        <v>409</v>
      </c>
      <c r="B410" t="s">
        <v>193</v>
      </c>
      <c r="C410" t="s">
        <v>1009</v>
      </c>
      <c r="D410" t="s">
        <v>1021</v>
      </c>
      <c r="E410" t="str">
        <f t="shared" si="6"/>
        <v>EmMa409</v>
      </c>
    </row>
    <row r="411" spans="1:5" x14ac:dyDescent="0.3">
      <c r="A411">
        <v>410</v>
      </c>
      <c r="B411" t="s">
        <v>188</v>
      </c>
      <c r="C411" t="s">
        <v>1012</v>
      </c>
      <c r="D411" t="s">
        <v>1016</v>
      </c>
      <c r="E411" t="str">
        <f t="shared" si="6"/>
        <v>SaBr410</v>
      </c>
    </row>
    <row r="412" spans="1:5" x14ac:dyDescent="0.3">
      <c r="A412">
        <v>411</v>
      </c>
      <c r="B412" t="s">
        <v>123</v>
      </c>
      <c r="C412" t="s">
        <v>1010</v>
      </c>
      <c r="D412" t="s">
        <v>1021</v>
      </c>
      <c r="E412" t="str">
        <f t="shared" si="6"/>
        <v>MiMa411</v>
      </c>
    </row>
    <row r="413" spans="1:5" x14ac:dyDescent="0.3">
      <c r="A413">
        <v>412</v>
      </c>
      <c r="B413" t="s">
        <v>157</v>
      </c>
      <c r="C413" t="s">
        <v>1010</v>
      </c>
      <c r="D413" t="s">
        <v>1015</v>
      </c>
      <c r="E413" t="str">
        <f t="shared" si="6"/>
        <v>MiSm412</v>
      </c>
    </row>
    <row r="414" spans="1:5" x14ac:dyDescent="0.3">
      <c r="A414">
        <v>413</v>
      </c>
      <c r="B414" t="s">
        <v>526</v>
      </c>
      <c r="C414" t="s">
        <v>1013</v>
      </c>
      <c r="D414" t="s">
        <v>1016</v>
      </c>
      <c r="E414" t="str">
        <f t="shared" si="6"/>
        <v>DaBr413</v>
      </c>
    </row>
    <row r="415" spans="1:5" x14ac:dyDescent="0.3">
      <c r="A415">
        <v>414</v>
      </c>
      <c r="B415" t="s">
        <v>163</v>
      </c>
      <c r="C415" t="s">
        <v>1005</v>
      </c>
      <c r="D415" t="s">
        <v>1024</v>
      </c>
      <c r="E415" t="str">
        <f t="shared" si="6"/>
        <v>EmGa414</v>
      </c>
    </row>
    <row r="416" spans="1:5" x14ac:dyDescent="0.3">
      <c r="A416">
        <v>415</v>
      </c>
      <c r="B416" t="s">
        <v>88</v>
      </c>
      <c r="C416" t="s">
        <v>1012</v>
      </c>
      <c r="D416" t="s">
        <v>1017</v>
      </c>
      <c r="E416" t="str">
        <f t="shared" si="6"/>
        <v>SaDa415</v>
      </c>
    </row>
    <row r="417" spans="1:5" x14ac:dyDescent="0.3">
      <c r="A417">
        <v>416</v>
      </c>
      <c r="B417" t="s">
        <v>348</v>
      </c>
      <c r="C417" t="s">
        <v>1013</v>
      </c>
      <c r="D417" t="s">
        <v>1020</v>
      </c>
      <c r="E417" t="str">
        <f t="shared" si="6"/>
        <v>DaHe416</v>
      </c>
    </row>
    <row r="418" spans="1:5" x14ac:dyDescent="0.3">
      <c r="A418">
        <v>417</v>
      </c>
      <c r="B418" t="s">
        <v>123</v>
      </c>
      <c r="C418" t="s">
        <v>1010</v>
      </c>
      <c r="D418" t="s">
        <v>1021</v>
      </c>
      <c r="E418" t="str">
        <f t="shared" si="6"/>
        <v>MiMa417</v>
      </c>
    </row>
    <row r="419" spans="1:5" x14ac:dyDescent="0.3">
      <c r="A419">
        <v>418</v>
      </c>
      <c r="B419" t="s">
        <v>438</v>
      </c>
      <c r="C419" t="s">
        <v>1005</v>
      </c>
      <c r="D419" t="s">
        <v>1019</v>
      </c>
      <c r="E419" t="str">
        <f t="shared" si="6"/>
        <v>EmJo418</v>
      </c>
    </row>
    <row r="420" spans="1:5" x14ac:dyDescent="0.3">
      <c r="A420">
        <v>419</v>
      </c>
      <c r="B420" t="s">
        <v>148</v>
      </c>
      <c r="C420" t="s">
        <v>1007</v>
      </c>
      <c r="D420" t="s">
        <v>1020</v>
      </c>
      <c r="E420" t="str">
        <f t="shared" si="6"/>
        <v>JoHe419</v>
      </c>
    </row>
    <row r="421" spans="1:5" x14ac:dyDescent="0.3">
      <c r="A421">
        <v>420</v>
      </c>
      <c r="B421" t="s">
        <v>131</v>
      </c>
      <c r="C421" t="s">
        <v>1010</v>
      </c>
      <c r="D421" t="s">
        <v>1016</v>
      </c>
      <c r="E421" t="str">
        <f t="shared" si="6"/>
        <v>MiBr420</v>
      </c>
    </row>
    <row r="422" spans="1:5" x14ac:dyDescent="0.3">
      <c r="A422">
        <v>421</v>
      </c>
      <c r="B422" t="s">
        <v>92</v>
      </c>
      <c r="C422" t="s">
        <v>1013</v>
      </c>
      <c r="D422" t="s">
        <v>1022</v>
      </c>
      <c r="E422" t="str">
        <f t="shared" si="6"/>
        <v>DaWi421</v>
      </c>
    </row>
    <row r="423" spans="1:5" x14ac:dyDescent="0.3">
      <c r="A423">
        <v>422</v>
      </c>
      <c r="B423" t="s">
        <v>422</v>
      </c>
      <c r="C423" t="s">
        <v>1010</v>
      </c>
      <c r="D423" t="s">
        <v>1020</v>
      </c>
      <c r="E423" t="str">
        <f t="shared" si="6"/>
        <v>MiHe422</v>
      </c>
    </row>
    <row r="424" spans="1:5" x14ac:dyDescent="0.3">
      <c r="A424">
        <v>423</v>
      </c>
      <c r="B424" t="s">
        <v>363</v>
      </c>
      <c r="C424" t="s">
        <v>1013</v>
      </c>
      <c r="D424" t="s">
        <v>1024</v>
      </c>
      <c r="E424" t="str">
        <f t="shared" si="6"/>
        <v>DaGa423</v>
      </c>
    </row>
    <row r="425" spans="1:5" x14ac:dyDescent="0.3">
      <c r="A425">
        <v>424</v>
      </c>
      <c r="B425" t="s">
        <v>252</v>
      </c>
      <c r="C425" t="s">
        <v>1014</v>
      </c>
      <c r="D425" t="s">
        <v>1018</v>
      </c>
      <c r="E425" t="str">
        <f t="shared" si="6"/>
        <v>SoMi424</v>
      </c>
    </row>
    <row r="426" spans="1:5" x14ac:dyDescent="0.3">
      <c r="A426">
        <v>425</v>
      </c>
      <c r="B426" t="s">
        <v>79</v>
      </c>
      <c r="C426" t="s">
        <v>1011</v>
      </c>
      <c r="D426" t="s">
        <v>1017</v>
      </c>
      <c r="E426" t="str">
        <f t="shared" si="6"/>
        <v>JaDa425</v>
      </c>
    </row>
    <row r="427" spans="1:5" x14ac:dyDescent="0.3">
      <c r="A427">
        <v>426</v>
      </c>
      <c r="B427" t="s">
        <v>148</v>
      </c>
      <c r="C427" t="s">
        <v>1007</v>
      </c>
      <c r="D427" t="s">
        <v>1020</v>
      </c>
      <c r="E427" t="str">
        <f t="shared" si="6"/>
        <v>JoHe426</v>
      </c>
    </row>
    <row r="428" spans="1:5" x14ac:dyDescent="0.3">
      <c r="A428">
        <v>427</v>
      </c>
      <c r="B428" t="s">
        <v>336</v>
      </c>
      <c r="C428" t="s">
        <v>1005</v>
      </c>
      <c r="D428" t="s">
        <v>1021</v>
      </c>
      <c r="E428" t="str">
        <f t="shared" si="6"/>
        <v>EmMa427</v>
      </c>
    </row>
    <row r="429" spans="1:5" x14ac:dyDescent="0.3">
      <c r="A429">
        <v>428</v>
      </c>
      <c r="B429" t="s">
        <v>438</v>
      </c>
      <c r="C429" t="s">
        <v>1005</v>
      </c>
      <c r="D429" t="s">
        <v>1019</v>
      </c>
      <c r="E429" t="str">
        <f t="shared" si="6"/>
        <v>EmJo428</v>
      </c>
    </row>
    <row r="430" spans="1:5" x14ac:dyDescent="0.3">
      <c r="A430">
        <v>429</v>
      </c>
      <c r="B430" t="s">
        <v>131</v>
      </c>
      <c r="C430" t="s">
        <v>1010</v>
      </c>
      <c r="D430" t="s">
        <v>1016</v>
      </c>
      <c r="E430" t="str">
        <f t="shared" si="6"/>
        <v>MiBr429</v>
      </c>
    </row>
    <row r="431" spans="1:5" x14ac:dyDescent="0.3">
      <c r="A431">
        <v>430</v>
      </c>
      <c r="B431" t="s">
        <v>232</v>
      </c>
      <c r="C431" t="s">
        <v>1008</v>
      </c>
      <c r="D431" t="s">
        <v>1016</v>
      </c>
      <c r="E431" t="str">
        <f t="shared" si="6"/>
        <v>DaBr430</v>
      </c>
    </row>
    <row r="432" spans="1:5" x14ac:dyDescent="0.3">
      <c r="A432">
        <v>431</v>
      </c>
      <c r="B432" t="s">
        <v>610</v>
      </c>
      <c r="C432" t="s">
        <v>1014</v>
      </c>
      <c r="D432" t="s">
        <v>1022</v>
      </c>
      <c r="E432" t="str">
        <f t="shared" si="6"/>
        <v>SoWi431</v>
      </c>
    </row>
    <row r="433" spans="1:5" x14ac:dyDescent="0.3">
      <c r="A433">
        <v>432</v>
      </c>
      <c r="B433" t="s">
        <v>111</v>
      </c>
      <c r="C433" t="s">
        <v>1013</v>
      </c>
      <c r="D433" t="s">
        <v>1017</v>
      </c>
      <c r="E433" t="str">
        <f t="shared" si="6"/>
        <v>DaDa432</v>
      </c>
    </row>
    <row r="434" spans="1:5" x14ac:dyDescent="0.3">
      <c r="A434">
        <v>433</v>
      </c>
      <c r="B434" t="s">
        <v>33</v>
      </c>
      <c r="C434" t="s">
        <v>1007</v>
      </c>
      <c r="D434" t="s">
        <v>1017</v>
      </c>
      <c r="E434" t="str">
        <f t="shared" si="6"/>
        <v>JoDa433</v>
      </c>
    </row>
    <row r="435" spans="1:5" x14ac:dyDescent="0.3">
      <c r="A435">
        <v>434</v>
      </c>
      <c r="B435" t="s">
        <v>16</v>
      </c>
      <c r="C435" t="s">
        <v>1005</v>
      </c>
      <c r="D435" t="s">
        <v>1015</v>
      </c>
      <c r="E435" t="str">
        <f t="shared" si="6"/>
        <v>EmSm434</v>
      </c>
    </row>
    <row r="436" spans="1:5" x14ac:dyDescent="0.3">
      <c r="A436">
        <v>435</v>
      </c>
      <c r="B436" t="s">
        <v>432</v>
      </c>
      <c r="C436" t="s">
        <v>1013</v>
      </c>
      <c r="D436" t="s">
        <v>1021</v>
      </c>
      <c r="E436" t="str">
        <f t="shared" si="6"/>
        <v>DaMa435</v>
      </c>
    </row>
    <row r="437" spans="1:5" x14ac:dyDescent="0.3">
      <c r="A437">
        <v>436</v>
      </c>
      <c r="B437" t="s">
        <v>472</v>
      </c>
      <c r="C437" t="s">
        <v>1008</v>
      </c>
      <c r="D437" t="s">
        <v>1017</v>
      </c>
      <c r="E437" t="str">
        <f t="shared" si="6"/>
        <v>DaDa436</v>
      </c>
    </row>
    <row r="438" spans="1:5" x14ac:dyDescent="0.3">
      <c r="A438">
        <v>437</v>
      </c>
      <c r="B438" t="s">
        <v>79</v>
      </c>
      <c r="C438" t="s">
        <v>1011</v>
      </c>
      <c r="D438" t="s">
        <v>1017</v>
      </c>
      <c r="E438" t="str">
        <f t="shared" si="6"/>
        <v>JaDa437</v>
      </c>
    </row>
    <row r="439" spans="1:5" x14ac:dyDescent="0.3">
      <c r="A439">
        <v>438</v>
      </c>
      <c r="B439" t="s">
        <v>185</v>
      </c>
      <c r="C439" t="s">
        <v>1013</v>
      </c>
      <c r="D439" t="s">
        <v>1023</v>
      </c>
      <c r="E439" t="str">
        <f t="shared" si="6"/>
        <v>DaJo438</v>
      </c>
    </row>
    <row r="440" spans="1:5" x14ac:dyDescent="0.3">
      <c r="A440">
        <v>439</v>
      </c>
      <c r="B440" t="s">
        <v>633</v>
      </c>
      <c r="C440" t="s">
        <v>1006</v>
      </c>
      <c r="D440" t="s">
        <v>1015</v>
      </c>
      <c r="E440" t="str">
        <f t="shared" si="6"/>
        <v>LaSm439</v>
      </c>
    </row>
    <row r="441" spans="1:5" x14ac:dyDescent="0.3">
      <c r="A441">
        <v>440</v>
      </c>
      <c r="B441" t="s">
        <v>193</v>
      </c>
      <c r="C441" t="s">
        <v>1009</v>
      </c>
      <c r="D441" t="s">
        <v>1021</v>
      </c>
      <c r="E441" t="str">
        <f t="shared" si="6"/>
        <v>EmMa440</v>
      </c>
    </row>
    <row r="442" spans="1:5" x14ac:dyDescent="0.3">
      <c r="A442">
        <v>441</v>
      </c>
      <c r="B442" t="s">
        <v>160</v>
      </c>
      <c r="C442" t="s">
        <v>1012</v>
      </c>
      <c r="D442" t="s">
        <v>1021</v>
      </c>
      <c r="E442" t="str">
        <f t="shared" si="6"/>
        <v>SaMa441</v>
      </c>
    </row>
    <row r="443" spans="1:5" x14ac:dyDescent="0.3">
      <c r="A443">
        <v>442</v>
      </c>
      <c r="B443" t="s">
        <v>358</v>
      </c>
      <c r="C443" t="s">
        <v>1007</v>
      </c>
      <c r="D443" t="s">
        <v>1021</v>
      </c>
      <c r="E443" t="str">
        <f t="shared" si="6"/>
        <v>JoMa442</v>
      </c>
    </row>
    <row r="444" spans="1:5" x14ac:dyDescent="0.3">
      <c r="A444">
        <v>443</v>
      </c>
      <c r="B444" t="s">
        <v>404</v>
      </c>
      <c r="C444" t="s">
        <v>1014</v>
      </c>
      <c r="D444" t="s">
        <v>1019</v>
      </c>
      <c r="E444" t="str">
        <f t="shared" si="6"/>
        <v>SoJo443</v>
      </c>
    </row>
    <row r="445" spans="1:5" x14ac:dyDescent="0.3">
      <c r="A445">
        <v>444</v>
      </c>
      <c r="B445" t="s">
        <v>327</v>
      </c>
      <c r="C445" t="s">
        <v>1005</v>
      </c>
      <c r="D445" t="s">
        <v>1018</v>
      </c>
      <c r="E445" t="str">
        <f t="shared" si="6"/>
        <v>EmMi444</v>
      </c>
    </row>
    <row r="446" spans="1:5" x14ac:dyDescent="0.3">
      <c r="A446">
        <v>445</v>
      </c>
      <c r="B446" t="s">
        <v>255</v>
      </c>
      <c r="C446" t="s">
        <v>1006</v>
      </c>
      <c r="D446" t="s">
        <v>1024</v>
      </c>
      <c r="E446" t="str">
        <f t="shared" si="6"/>
        <v>LaGa445</v>
      </c>
    </row>
    <row r="447" spans="1:5" x14ac:dyDescent="0.3">
      <c r="A447">
        <v>446</v>
      </c>
      <c r="B447" t="s">
        <v>257</v>
      </c>
      <c r="C447" t="s">
        <v>1010</v>
      </c>
      <c r="D447" t="s">
        <v>1017</v>
      </c>
      <c r="E447" t="str">
        <f t="shared" si="6"/>
        <v>MiDa446</v>
      </c>
    </row>
    <row r="448" spans="1:5" x14ac:dyDescent="0.3">
      <c r="A448">
        <v>447</v>
      </c>
      <c r="B448" t="s">
        <v>92</v>
      </c>
      <c r="C448" t="s">
        <v>1013</v>
      </c>
      <c r="D448" t="s">
        <v>1022</v>
      </c>
      <c r="E448" t="str">
        <f t="shared" si="6"/>
        <v>DaWi447</v>
      </c>
    </row>
    <row r="449" spans="1:5" x14ac:dyDescent="0.3">
      <c r="A449">
        <v>448</v>
      </c>
      <c r="B449" t="s">
        <v>384</v>
      </c>
      <c r="C449" t="s">
        <v>1005</v>
      </c>
      <c r="D449" t="s">
        <v>1016</v>
      </c>
      <c r="E449" t="str">
        <f t="shared" si="6"/>
        <v>EmBr448</v>
      </c>
    </row>
    <row r="450" spans="1:5" x14ac:dyDescent="0.3">
      <c r="A450">
        <v>449</v>
      </c>
      <c r="B450" t="s">
        <v>472</v>
      </c>
      <c r="C450" t="s">
        <v>1008</v>
      </c>
      <c r="D450" t="s">
        <v>1017</v>
      </c>
      <c r="E450" t="str">
        <f t="shared" si="6"/>
        <v>DaDa449</v>
      </c>
    </row>
    <row r="451" spans="1:5" x14ac:dyDescent="0.3">
      <c r="A451">
        <v>450</v>
      </c>
      <c r="B451" t="s">
        <v>106</v>
      </c>
      <c r="C451" t="s">
        <v>1010</v>
      </c>
      <c r="D451" t="s">
        <v>1018</v>
      </c>
      <c r="E451" t="str">
        <f t="shared" si="6"/>
        <v>MiMi450</v>
      </c>
    </row>
    <row r="452" spans="1:5" x14ac:dyDescent="0.3">
      <c r="A452">
        <v>451</v>
      </c>
      <c r="B452" t="s">
        <v>117</v>
      </c>
      <c r="C452" t="s">
        <v>1014</v>
      </c>
      <c r="D452" t="s">
        <v>1020</v>
      </c>
      <c r="E452" t="str">
        <f t="shared" ref="E452:E501" si="7">_xlfn.CONCAT(LEFT(C452,2),LEFT(D452,2),A452)</f>
        <v>SoHe451</v>
      </c>
    </row>
    <row r="453" spans="1:5" x14ac:dyDescent="0.3">
      <c r="A453">
        <v>452</v>
      </c>
      <c r="B453" t="s">
        <v>327</v>
      </c>
      <c r="C453" t="s">
        <v>1005</v>
      </c>
      <c r="D453" t="s">
        <v>1018</v>
      </c>
      <c r="E453" t="str">
        <f t="shared" si="7"/>
        <v>EmMi452</v>
      </c>
    </row>
    <row r="454" spans="1:5" x14ac:dyDescent="0.3">
      <c r="A454">
        <v>453</v>
      </c>
      <c r="B454" t="s">
        <v>212</v>
      </c>
      <c r="C454" t="s">
        <v>1010</v>
      </c>
      <c r="D454" t="s">
        <v>1022</v>
      </c>
      <c r="E454" t="str">
        <f t="shared" si="7"/>
        <v>MiWi453</v>
      </c>
    </row>
    <row r="455" spans="1:5" x14ac:dyDescent="0.3">
      <c r="A455">
        <v>454</v>
      </c>
      <c r="B455" t="s">
        <v>295</v>
      </c>
      <c r="C455" t="s">
        <v>1012</v>
      </c>
      <c r="D455" t="s">
        <v>1018</v>
      </c>
      <c r="E455" t="str">
        <f t="shared" si="7"/>
        <v>SaMi454</v>
      </c>
    </row>
    <row r="456" spans="1:5" x14ac:dyDescent="0.3">
      <c r="A456">
        <v>455</v>
      </c>
      <c r="B456" t="s">
        <v>131</v>
      </c>
      <c r="C456" t="s">
        <v>1010</v>
      </c>
      <c r="D456" t="s">
        <v>1016</v>
      </c>
      <c r="E456" t="str">
        <f t="shared" si="7"/>
        <v>MiBr455</v>
      </c>
    </row>
    <row r="457" spans="1:5" x14ac:dyDescent="0.3">
      <c r="A457">
        <v>456</v>
      </c>
      <c r="B457" t="s">
        <v>114</v>
      </c>
      <c r="C457" t="s">
        <v>1012</v>
      </c>
      <c r="D457" t="s">
        <v>1019</v>
      </c>
      <c r="E457" t="str">
        <f t="shared" si="7"/>
        <v>SaJo456</v>
      </c>
    </row>
    <row r="458" spans="1:5" x14ac:dyDescent="0.3">
      <c r="A458">
        <v>457</v>
      </c>
      <c r="B458" t="s">
        <v>160</v>
      </c>
      <c r="C458" t="s">
        <v>1012</v>
      </c>
      <c r="D458" t="s">
        <v>1021</v>
      </c>
      <c r="E458" t="str">
        <f t="shared" si="7"/>
        <v>SaMa457</v>
      </c>
    </row>
    <row r="459" spans="1:5" x14ac:dyDescent="0.3">
      <c r="A459">
        <v>458</v>
      </c>
      <c r="B459" t="s">
        <v>198</v>
      </c>
      <c r="C459" t="s">
        <v>1008</v>
      </c>
      <c r="D459" t="s">
        <v>1019</v>
      </c>
      <c r="E459" t="str">
        <f t="shared" si="7"/>
        <v>DaJo458</v>
      </c>
    </row>
    <row r="460" spans="1:5" x14ac:dyDescent="0.3">
      <c r="A460">
        <v>459</v>
      </c>
      <c r="B460" t="s">
        <v>243</v>
      </c>
      <c r="C460" t="s">
        <v>1010</v>
      </c>
      <c r="D460" t="s">
        <v>1024</v>
      </c>
      <c r="E460" t="str">
        <f t="shared" si="7"/>
        <v>MiGa459</v>
      </c>
    </row>
    <row r="461" spans="1:5" x14ac:dyDescent="0.3">
      <c r="A461">
        <v>460</v>
      </c>
      <c r="B461" t="s">
        <v>198</v>
      </c>
      <c r="C461" t="s">
        <v>1008</v>
      </c>
      <c r="D461" t="s">
        <v>1019</v>
      </c>
      <c r="E461" t="str">
        <f t="shared" si="7"/>
        <v>DaJo460</v>
      </c>
    </row>
    <row r="462" spans="1:5" x14ac:dyDescent="0.3">
      <c r="A462">
        <v>461</v>
      </c>
      <c r="B462" t="s">
        <v>553</v>
      </c>
      <c r="C462" t="s">
        <v>1009</v>
      </c>
      <c r="D462" t="s">
        <v>1023</v>
      </c>
      <c r="E462" t="str">
        <f t="shared" si="7"/>
        <v>EmJo461</v>
      </c>
    </row>
    <row r="463" spans="1:5" x14ac:dyDescent="0.3">
      <c r="A463">
        <v>462</v>
      </c>
      <c r="B463" t="s">
        <v>488</v>
      </c>
      <c r="C463" t="s">
        <v>1008</v>
      </c>
      <c r="D463" t="s">
        <v>1024</v>
      </c>
      <c r="E463" t="str">
        <f t="shared" si="7"/>
        <v>DaGa462</v>
      </c>
    </row>
    <row r="464" spans="1:5" x14ac:dyDescent="0.3">
      <c r="A464">
        <v>463</v>
      </c>
      <c r="B464" t="s">
        <v>478</v>
      </c>
      <c r="C464" t="s">
        <v>1009</v>
      </c>
      <c r="D464" t="s">
        <v>1018</v>
      </c>
      <c r="E464" t="str">
        <f t="shared" si="7"/>
        <v>EmMi463</v>
      </c>
    </row>
    <row r="465" spans="1:5" x14ac:dyDescent="0.3">
      <c r="A465">
        <v>464</v>
      </c>
      <c r="B465" t="s">
        <v>429</v>
      </c>
      <c r="C465" t="s">
        <v>1007</v>
      </c>
      <c r="D465" t="s">
        <v>1016</v>
      </c>
      <c r="E465" t="str">
        <f t="shared" si="7"/>
        <v>JoBr464</v>
      </c>
    </row>
    <row r="466" spans="1:5" x14ac:dyDescent="0.3">
      <c r="A466">
        <v>465</v>
      </c>
      <c r="B466" t="s">
        <v>295</v>
      </c>
      <c r="C466" t="s">
        <v>1012</v>
      </c>
      <c r="D466" t="s">
        <v>1018</v>
      </c>
      <c r="E466" t="str">
        <f t="shared" si="7"/>
        <v>SaMi465</v>
      </c>
    </row>
    <row r="467" spans="1:5" x14ac:dyDescent="0.3">
      <c r="A467">
        <v>466</v>
      </c>
      <c r="B467" t="s">
        <v>143</v>
      </c>
      <c r="C467" t="s">
        <v>1014</v>
      </c>
      <c r="D467" t="s">
        <v>1015</v>
      </c>
      <c r="E467" t="str">
        <f t="shared" si="7"/>
        <v>SoSm466</v>
      </c>
    </row>
    <row r="468" spans="1:5" x14ac:dyDescent="0.3">
      <c r="A468">
        <v>467</v>
      </c>
      <c r="B468" t="s">
        <v>114</v>
      </c>
      <c r="C468" t="s">
        <v>1012</v>
      </c>
      <c r="D468" t="s">
        <v>1019</v>
      </c>
      <c r="E468" t="str">
        <f t="shared" si="7"/>
        <v>SaJo467</v>
      </c>
    </row>
    <row r="469" spans="1:5" x14ac:dyDescent="0.3">
      <c r="A469">
        <v>468</v>
      </c>
      <c r="B469" t="s">
        <v>553</v>
      </c>
      <c r="C469" t="s">
        <v>1009</v>
      </c>
      <c r="D469" t="s">
        <v>1023</v>
      </c>
      <c r="E469" t="str">
        <f t="shared" si="7"/>
        <v>EmJo468</v>
      </c>
    </row>
    <row r="470" spans="1:5" x14ac:dyDescent="0.3">
      <c r="A470">
        <v>469</v>
      </c>
      <c r="B470" t="s">
        <v>38</v>
      </c>
      <c r="C470" t="s">
        <v>1008</v>
      </c>
      <c r="D470" t="s">
        <v>1018</v>
      </c>
      <c r="E470" t="str">
        <f t="shared" si="7"/>
        <v>DaMi469</v>
      </c>
    </row>
    <row r="471" spans="1:5" x14ac:dyDescent="0.3">
      <c r="A471">
        <v>470</v>
      </c>
      <c r="B471" t="s">
        <v>163</v>
      </c>
      <c r="C471" t="s">
        <v>1005</v>
      </c>
      <c r="D471" t="s">
        <v>1024</v>
      </c>
      <c r="E471" t="str">
        <f t="shared" si="7"/>
        <v>EmGa470</v>
      </c>
    </row>
    <row r="472" spans="1:5" x14ac:dyDescent="0.3">
      <c r="A472">
        <v>471</v>
      </c>
      <c r="B472" t="s">
        <v>16</v>
      </c>
      <c r="C472" t="s">
        <v>1005</v>
      </c>
      <c r="D472" t="s">
        <v>1015</v>
      </c>
      <c r="E472" t="str">
        <f t="shared" si="7"/>
        <v>EmSm471</v>
      </c>
    </row>
    <row r="473" spans="1:5" x14ac:dyDescent="0.3">
      <c r="A473">
        <v>472</v>
      </c>
      <c r="B473" t="s">
        <v>123</v>
      </c>
      <c r="C473" t="s">
        <v>1010</v>
      </c>
      <c r="D473" t="s">
        <v>1021</v>
      </c>
      <c r="E473" t="str">
        <f t="shared" si="7"/>
        <v>MiMa472</v>
      </c>
    </row>
    <row r="474" spans="1:5" x14ac:dyDescent="0.3">
      <c r="A474">
        <v>473</v>
      </c>
      <c r="B474" t="s">
        <v>298</v>
      </c>
      <c r="C474" t="s">
        <v>1011</v>
      </c>
      <c r="D474" t="s">
        <v>1022</v>
      </c>
      <c r="E474" t="str">
        <f t="shared" si="7"/>
        <v>JaWi473</v>
      </c>
    </row>
    <row r="475" spans="1:5" x14ac:dyDescent="0.3">
      <c r="A475">
        <v>474</v>
      </c>
      <c r="B475" t="s">
        <v>274</v>
      </c>
      <c r="C475" t="s">
        <v>1006</v>
      </c>
      <c r="D475" t="s">
        <v>1020</v>
      </c>
      <c r="E475" t="str">
        <f t="shared" si="7"/>
        <v>LaHe474</v>
      </c>
    </row>
    <row r="476" spans="1:5" x14ac:dyDescent="0.3">
      <c r="A476">
        <v>475</v>
      </c>
      <c r="B476" t="s">
        <v>422</v>
      </c>
      <c r="C476" t="s">
        <v>1010</v>
      </c>
      <c r="D476" t="s">
        <v>1020</v>
      </c>
      <c r="E476" t="str">
        <f t="shared" si="7"/>
        <v>MiHe475</v>
      </c>
    </row>
    <row r="477" spans="1:5" x14ac:dyDescent="0.3">
      <c r="A477">
        <v>476</v>
      </c>
      <c r="B477" t="s">
        <v>136</v>
      </c>
      <c r="C477" t="s">
        <v>1006</v>
      </c>
      <c r="D477" t="s">
        <v>1018</v>
      </c>
      <c r="E477" t="str">
        <f t="shared" si="7"/>
        <v>LaMi476</v>
      </c>
    </row>
    <row r="478" spans="1:5" x14ac:dyDescent="0.3">
      <c r="A478">
        <v>477</v>
      </c>
      <c r="B478" t="s">
        <v>327</v>
      </c>
      <c r="C478" t="s">
        <v>1005</v>
      </c>
      <c r="D478" t="s">
        <v>1018</v>
      </c>
      <c r="E478" t="str">
        <f t="shared" si="7"/>
        <v>EmMi477</v>
      </c>
    </row>
    <row r="479" spans="1:5" x14ac:dyDescent="0.3">
      <c r="A479">
        <v>478</v>
      </c>
      <c r="B479" t="s">
        <v>136</v>
      </c>
      <c r="C479" t="s">
        <v>1006</v>
      </c>
      <c r="D479" t="s">
        <v>1018</v>
      </c>
      <c r="E479" t="str">
        <f t="shared" si="7"/>
        <v>LaMi478</v>
      </c>
    </row>
    <row r="480" spans="1:5" x14ac:dyDescent="0.3">
      <c r="A480">
        <v>479</v>
      </c>
      <c r="B480" t="s">
        <v>92</v>
      </c>
      <c r="C480" t="s">
        <v>1013</v>
      </c>
      <c r="D480" t="s">
        <v>1022</v>
      </c>
      <c r="E480" t="str">
        <f t="shared" si="7"/>
        <v>DaWi479</v>
      </c>
    </row>
    <row r="481" spans="1:5" x14ac:dyDescent="0.3">
      <c r="A481">
        <v>480</v>
      </c>
      <c r="B481" t="s">
        <v>57</v>
      </c>
      <c r="C481" t="s">
        <v>1009</v>
      </c>
      <c r="D481" t="s">
        <v>1020</v>
      </c>
      <c r="E481" t="str">
        <f t="shared" si="7"/>
        <v>EmHe480</v>
      </c>
    </row>
    <row r="482" spans="1:5" x14ac:dyDescent="0.3">
      <c r="A482">
        <v>481</v>
      </c>
      <c r="B482" t="s">
        <v>88</v>
      </c>
      <c r="C482" t="s">
        <v>1012</v>
      </c>
      <c r="D482" t="s">
        <v>1017</v>
      </c>
      <c r="E482" t="str">
        <f t="shared" si="7"/>
        <v>SaDa481</v>
      </c>
    </row>
    <row r="483" spans="1:5" x14ac:dyDescent="0.3">
      <c r="A483">
        <v>482</v>
      </c>
      <c r="B483" t="s">
        <v>358</v>
      </c>
      <c r="C483" t="s">
        <v>1007</v>
      </c>
      <c r="D483" t="s">
        <v>1021</v>
      </c>
      <c r="E483" t="str">
        <f t="shared" si="7"/>
        <v>JoMa482</v>
      </c>
    </row>
    <row r="484" spans="1:5" x14ac:dyDescent="0.3">
      <c r="A484">
        <v>483</v>
      </c>
      <c r="B484" t="s">
        <v>182</v>
      </c>
      <c r="C484" t="s">
        <v>1008</v>
      </c>
      <c r="D484" t="s">
        <v>1015</v>
      </c>
      <c r="E484" t="str">
        <f t="shared" si="7"/>
        <v>DaSm483</v>
      </c>
    </row>
    <row r="485" spans="1:5" x14ac:dyDescent="0.3">
      <c r="A485">
        <v>484</v>
      </c>
      <c r="B485" t="s">
        <v>79</v>
      </c>
      <c r="C485" t="s">
        <v>1011</v>
      </c>
      <c r="D485" t="s">
        <v>1017</v>
      </c>
      <c r="E485" t="str">
        <f t="shared" si="7"/>
        <v>JaDa484</v>
      </c>
    </row>
    <row r="486" spans="1:5" x14ac:dyDescent="0.3">
      <c r="A486">
        <v>485</v>
      </c>
      <c r="B486" t="s">
        <v>597</v>
      </c>
      <c r="C486" t="s">
        <v>1007</v>
      </c>
      <c r="D486" t="s">
        <v>1015</v>
      </c>
      <c r="E486" t="str">
        <f t="shared" si="7"/>
        <v>JoSm485</v>
      </c>
    </row>
    <row r="487" spans="1:5" x14ac:dyDescent="0.3">
      <c r="A487">
        <v>486</v>
      </c>
      <c r="B487" t="s">
        <v>257</v>
      </c>
      <c r="C487" t="s">
        <v>1010</v>
      </c>
      <c r="D487" t="s">
        <v>1017</v>
      </c>
      <c r="E487" t="str">
        <f t="shared" si="7"/>
        <v>MiDa486</v>
      </c>
    </row>
    <row r="488" spans="1:5" x14ac:dyDescent="0.3">
      <c r="A488">
        <v>487</v>
      </c>
      <c r="B488" t="s">
        <v>295</v>
      </c>
      <c r="C488" t="s">
        <v>1012</v>
      </c>
      <c r="D488" t="s">
        <v>1018</v>
      </c>
      <c r="E488" t="str">
        <f t="shared" si="7"/>
        <v>SaMi487</v>
      </c>
    </row>
    <row r="489" spans="1:5" x14ac:dyDescent="0.3">
      <c r="A489">
        <v>488</v>
      </c>
      <c r="B489" t="s">
        <v>290</v>
      </c>
      <c r="C489" t="s">
        <v>1014</v>
      </c>
      <c r="D489" t="s">
        <v>1021</v>
      </c>
      <c r="E489" t="str">
        <f t="shared" si="7"/>
        <v>SoMa488</v>
      </c>
    </row>
    <row r="490" spans="1:5" x14ac:dyDescent="0.3">
      <c r="A490">
        <v>489</v>
      </c>
      <c r="B490" t="s">
        <v>140</v>
      </c>
      <c r="C490" t="s">
        <v>1014</v>
      </c>
      <c r="D490" t="s">
        <v>1024</v>
      </c>
      <c r="E490" t="str">
        <f t="shared" si="7"/>
        <v>SoGa489</v>
      </c>
    </row>
    <row r="491" spans="1:5" x14ac:dyDescent="0.3">
      <c r="A491">
        <v>490</v>
      </c>
      <c r="B491" t="s">
        <v>163</v>
      </c>
      <c r="C491" t="s">
        <v>1005</v>
      </c>
      <c r="D491" t="s">
        <v>1024</v>
      </c>
      <c r="E491" t="str">
        <f t="shared" si="7"/>
        <v>EmGa490</v>
      </c>
    </row>
    <row r="492" spans="1:5" x14ac:dyDescent="0.3">
      <c r="A492">
        <v>491</v>
      </c>
      <c r="B492" t="s">
        <v>429</v>
      </c>
      <c r="C492" t="s">
        <v>1007</v>
      </c>
      <c r="D492" t="s">
        <v>1016</v>
      </c>
      <c r="E492" t="str">
        <f t="shared" si="7"/>
        <v>JoBr491</v>
      </c>
    </row>
    <row r="493" spans="1:5" x14ac:dyDescent="0.3">
      <c r="A493">
        <v>492</v>
      </c>
      <c r="B493" t="s">
        <v>466</v>
      </c>
      <c r="C493" t="s">
        <v>1012</v>
      </c>
      <c r="D493" t="s">
        <v>1020</v>
      </c>
      <c r="E493" t="str">
        <f t="shared" si="7"/>
        <v>SaHe492</v>
      </c>
    </row>
    <row r="494" spans="1:5" x14ac:dyDescent="0.3">
      <c r="A494">
        <v>493</v>
      </c>
      <c r="B494" t="s">
        <v>613</v>
      </c>
      <c r="C494" t="s">
        <v>1011</v>
      </c>
      <c r="D494" t="s">
        <v>1024</v>
      </c>
      <c r="E494" t="str">
        <f t="shared" si="7"/>
        <v>JaGa493</v>
      </c>
    </row>
    <row r="495" spans="1:5" x14ac:dyDescent="0.3">
      <c r="A495">
        <v>494</v>
      </c>
      <c r="B495" t="s">
        <v>106</v>
      </c>
      <c r="C495" t="s">
        <v>1010</v>
      </c>
      <c r="D495" t="s">
        <v>1018</v>
      </c>
      <c r="E495" t="str">
        <f t="shared" si="7"/>
        <v>MiMi494</v>
      </c>
    </row>
    <row r="496" spans="1:5" x14ac:dyDescent="0.3">
      <c r="A496">
        <v>495</v>
      </c>
      <c r="B496" t="s">
        <v>257</v>
      </c>
      <c r="C496" t="s">
        <v>1010</v>
      </c>
      <c r="D496" t="s">
        <v>1017</v>
      </c>
      <c r="E496" t="str">
        <f t="shared" si="7"/>
        <v>MiDa495</v>
      </c>
    </row>
    <row r="497" spans="1:5" x14ac:dyDescent="0.3">
      <c r="A497">
        <v>496</v>
      </c>
      <c r="B497" t="s">
        <v>46</v>
      </c>
      <c r="C497" t="s">
        <v>1009</v>
      </c>
      <c r="D497" t="s">
        <v>1019</v>
      </c>
      <c r="E497" t="str">
        <f t="shared" si="7"/>
        <v>EmJo496</v>
      </c>
    </row>
    <row r="498" spans="1:5" x14ac:dyDescent="0.3">
      <c r="A498">
        <v>497</v>
      </c>
      <c r="B498" t="s">
        <v>438</v>
      </c>
      <c r="C498" t="s">
        <v>1005</v>
      </c>
      <c r="D498" t="s">
        <v>1019</v>
      </c>
      <c r="E498" t="str">
        <f t="shared" si="7"/>
        <v>EmJo497</v>
      </c>
    </row>
    <row r="499" spans="1:5" x14ac:dyDescent="0.3">
      <c r="A499">
        <v>498</v>
      </c>
      <c r="B499" t="s">
        <v>248</v>
      </c>
      <c r="C499" t="s">
        <v>1013</v>
      </c>
      <c r="D499" t="s">
        <v>1015</v>
      </c>
      <c r="E499" t="str">
        <f t="shared" si="7"/>
        <v>DaSm498</v>
      </c>
    </row>
    <row r="500" spans="1:5" x14ac:dyDescent="0.3">
      <c r="A500">
        <v>499</v>
      </c>
      <c r="B500" t="s">
        <v>85</v>
      </c>
      <c r="C500" t="s">
        <v>1009</v>
      </c>
      <c r="D500" t="s">
        <v>1015</v>
      </c>
      <c r="E500" t="str">
        <f t="shared" si="7"/>
        <v>EmSm499</v>
      </c>
    </row>
    <row r="501" spans="1:5" x14ac:dyDescent="0.3">
      <c r="A501">
        <v>500</v>
      </c>
      <c r="B501" t="s">
        <v>422</v>
      </c>
      <c r="C501" t="s">
        <v>1010</v>
      </c>
      <c r="D501" t="s">
        <v>1020</v>
      </c>
      <c r="E501" t="str">
        <f t="shared" si="7"/>
        <v>MiHe500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318BF-5FDD-412D-87B5-ED49F6002436}">
  <dimension ref="A1:S501"/>
  <sheetViews>
    <sheetView topLeftCell="A94" workbookViewId="0">
      <selection activeCell="R113" sqref="R113"/>
    </sheetView>
  </sheetViews>
  <sheetFormatPr defaultRowHeight="14.4" x14ac:dyDescent="0.3"/>
  <cols>
    <col min="1" max="1" width="10.44140625" bestFit="1" customWidth="1"/>
    <col min="2" max="2" width="8" bestFit="1" customWidth="1"/>
    <col min="3" max="3" width="15.6640625" bestFit="1" customWidth="1"/>
    <col min="6" max="6" width="10.44140625" bestFit="1" customWidth="1"/>
    <col min="7" max="7" width="8" bestFit="1" customWidth="1"/>
    <col min="8" max="8" width="15.6640625" bestFit="1" customWidth="1"/>
    <col min="9" max="9" width="8" bestFit="1" customWidth="1"/>
    <col min="13" max="13" width="10.44140625" bestFit="1" customWidth="1"/>
    <col min="14" max="14" width="15.6640625" bestFit="1" customWidth="1"/>
    <col min="18" max="18" width="15.21875" bestFit="1" customWidth="1"/>
    <col min="19" max="19" width="15.6640625" bestFit="1" customWidth="1"/>
  </cols>
  <sheetData>
    <row r="1" spans="1:19" x14ac:dyDescent="0.3">
      <c r="A1" s="1" t="s">
        <v>8</v>
      </c>
      <c r="B1" s="1" t="s">
        <v>10</v>
      </c>
      <c r="C1" s="1" t="s">
        <v>999</v>
      </c>
      <c r="F1" s="15"/>
      <c r="G1" s="15"/>
      <c r="H1" s="15"/>
      <c r="I1" s="15"/>
      <c r="R1" s="1" t="s">
        <v>8</v>
      </c>
      <c r="S1" s="1" t="s">
        <v>999</v>
      </c>
    </row>
    <row r="2" spans="1:19" x14ac:dyDescent="0.3">
      <c r="A2">
        <v>1104.4000000000001</v>
      </c>
      <c r="B2">
        <v>355.04</v>
      </c>
      <c r="C2">
        <f>B2/A2*100</f>
        <v>32.147772546178921</v>
      </c>
      <c r="F2" s="16"/>
      <c r="G2" s="16"/>
      <c r="H2" s="16"/>
      <c r="I2" s="16"/>
      <c r="R2" t="s">
        <v>1027</v>
      </c>
      <c r="S2" t="s">
        <v>1028</v>
      </c>
    </row>
    <row r="3" spans="1:19" x14ac:dyDescent="0.3">
      <c r="A3">
        <v>1056.99</v>
      </c>
      <c r="B3">
        <v>403.4</v>
      </c>
      <c r="C3">
        <f t="shared" ref="C3:C66" si="0">B3/A3*100</f>
        <v>38.16497790896792</v>
      </c>
      <c r="F3" s="16"/>
      <c r="G3" s="16"/>
      <c r="H3" s="16"/>
      <c r="I3" s="16"/>
    </row>
    <row r="4" spans="1:19" x14ac:dyDescent="0.3">
      <c r="A4">
        <v>968.32</v>
      </c>
      <c r="B4">
        <v>282.37</v>
      </c>
      <c r="C4">
        <f t="shared" si="0"/>
        <v>29.160814606741571</v>
      </c>
      <c r="F4" s="16"/>
      <c r="G4" s="16"/>
      <c r="H4" s="16"/>
      <c r="I4" s="16"/>
      <c r="R4" s="15"/>
      <c r="S4" s="15"/>
    </row>
    <row r="5" spans="1:19" x14ac:dyDescent="0.3">
      <c r="A5">
        <v>338.16</v>
      </c>
      <c r="B5">
        <v>134.77000000000001</v>
      </c>
      <c r="C5">
        <f t="shared" si="0"/>
        <v>39.853915306363852</v>
      </c>
      <c r="F5" s="16"/>
      <c r="G5" s="16"/>
      <c r="H5" s="16"/>
      <c r="I5" s="16"/>
      <c r="S5" s="16"/>
    </row>
    <row r="6" spans="1:19" x14ac:dyDescent="0.3">
      <c r="A6">
        <v>1176.74</v>
      </c>
      <c r="B6">
        <v>430.8</v>
      </c>
      <c r="C6">
        <f t="shared" si="0"/>
        <v>36.609616397844896</v>
      </c>
      <c r="F6" s="16"/>
      <c r="G6" s="16"/>
      <c r="H6" s="16"/>
      <c r="I6" s="16"/>
      <c r="S6" s="16"/>
    </row>
    <row r="7" spans="1:19" x14ac:dyDescent="0.3">
      <c r="A7">
        <v>363.22</v>
      </c>
      <c r="B7">
        <v>87.86</v>
      </c>
      <c r="C7">
        <f t="shared" si="0"/>
        <v>24.18919663014151</v>
      </c>
      <c r="F7" s="16"/>
      <c r="G7" s="16"/>
      <c r="H7" s="16"/>
      <c r="I7" s="16"/>
    </row>
    <row r="8" spans="1:19" x14ac:dyDescent="0.3">
      <c r="A8">
        <v>94.56</v>
      </c>
      <c r="B8">
        <v>20.079999999999998</v>
      </c>
      <c r="C8">
        <f t="shared" si="0"/>
        <v>21.23519458544839</v>
      </c>
      <c r="F8" s="16"/>
      <c r="G8" s="16"/>
      <c r="H8" s="16"/>
      <c r="I8" s="16"/>
      <c r="R8" s="1" t="s">
        <v>999</v>
      </c>
      <c r="S8" s="1" t="s">
        <v>999</v>
      </c>
    </row>
    <row r="9" spans="1:19" x14ac:dyDescent="0.3">
      <c r="A9">
        <v>429.94</v>
      </c>
      <c r="B9">
        <v>66.91</v>
      </c>
      <c r="C9">
        <f t="shared" si="0"/>
        <v>15.562636646973996</v>
      </c>
      <c r="F9" s="16"/>
      <c r="G9" s="16"/>
      <c r="H9" s="16"/>
      <c r="I9" s="16"/>
      <c r="R9" t="s">
        <v>1030</v>
      </c>
      <c r="S9" t="s">
        <v>1031</v>
      </c>
    </row>
    <row r="10" spans="1:19" x14ac:dyDescent="0.3">
      <c r="A10">
        <v>1150.0899999999999</v>
      </c>
      <c r="B10">
        <v>360.29</v>
      </c>
      <c r="C10">
        <f t="shared" si="0"/>
        <v>31.327113530245466</v>
      </c>
      <c r="F10" s="16"/>
      <c r="G10" s="16"/>
      <c r="H10" s="16"/>
      <c r="I10" s="16"/>
    </row>
    <row r="11" spans="1:19" x14ac:dyDescent="0.3">
      <c r="A11">
        <v>512.46</v>
      </c>
      <c r="B11">
        <v>139.32</v>
      </c>
      <c r="C11">
        <f t="shared" si="0"/>
        <v>27.186512118018964</v>
      </c>
      <c r="F11" s="16"/>
      <c r="G11" s="16"/>
      <c r="H11" s="16"/>
      <c r="I11" s="16"/>
    </row>
    <row r="12" spans="1:19" x14ac:dyDescent="0.3">
      <c r="A12">
        <v>1850.88</v>
      </c>
      <c r="B12">
        <v>675.73</v>
      </c>
      <c r="C12">
        <f t="shared" si="0"/>
        <v>36.508579702627934</v>
      </c>
      <c r="F12" s="16"/>
      <c r="G12" s="16"/>
      <c r="H12" s="16"/>
      <c r="I12" s="16"/>
    </row>
    <row r="13" spans="1:19" x14ac:dyDescent="0.3">
      <c r="A13">
        <v>2879.73</v>
      </c>
      <c r="B13">
        <v>779.44</v>
      </c>
      <c r="C13">
        <f t="shared" si="0"/>
        <v>27.066426366360734</v>
      </c>
      <c r="F13" s="16"/>
      <c r="G13" s="16"/>
      <c r="H13" s="16"/>
      <c r="I13" s="16"/>
      <c r="S13" s="1" t="s">
        <v>999</v>
      </c>
    </row>
    <row r="14" spans="1:19" x14ac:dyDescent="0.3">
      <c r="A14">
        <v>2447.56</v>
      </c>
      <c r="B14">
        <v>802.16</v>
      </c>
      <c r="C14">
        <f t="shared" si="0"/>
        <v>32.773864583503567</v>
      </c>
      <c r="F14" s="16"/>
      <c r="G14" s="16"/>
      <c r="H14" s="16"/>
      <c r="I14" s="16"/>
      <c r="M14" s="15"/>
      <c r="N14" s="15"/>
      <c r="O14" s="15"/>
      <c r="S14" t="s">
        <v>1032</v>
      </c>
    </row>
    <row r="15" spans="1:19" x14ac:dyDescent="0.3">
      <c r="A15">
        <v>1390.4</v>
      </c>
      <c r="B15">
        <v>560.36</v>
      </c>
      <c r="C15">
        <f t="shared" si="0"/>
        <v>40.302071346375143</v>
      </c>
      <c r="F15" s="16"/>
      <c r="G15" s="16"/>
      <c r="H15" s="16"/>
      <c r="I15" s="16"/>
      <c r="L15" s="15"/>
      <c r="P15" s="15"/>
    </row>
    <row r="16" spans="1:19" x14ac:dyDescent="0.3">
      <c r="A16">
        <v>936.98</v>
      </c>
      <c r="B16">
        <v>357.11</v>
      </c>
      <c r="C16">
        <f t="shared" si="0"/>
        <v>38.112873273709155</v>
      </c>
      <c r="F16" s="1" t="s">
        <v>8</v>
      </c>
      <c r="G16" s="1" t="s">
        <v>10</v>
      </c>
      <c r="H16" s="1" t="s">
        <v>999</v>
      </c>
      <c r="I16" s="17" t="s">
        <v>1026</v>
      </c>
      <c r="M16" s="1" t="s">
        <v>8</v>
      </c>
      <c r="N16" s="1" t="s">
        <v>10</v>
      </c>
      <c r="O16" s="1" t="s">
        <v>999</v>
      </c>
      <c r="P16" s="17" t="s">
        <v>1026</v>
      </c>
    </row>
    <row r="17" spans="1:16" x14ac:dyDescent="0.3">
      <c r="A17">
        <v>1217.28</v>
      </c>
      <c r="B17">
        <v>207.6</v>
      </c>
      <c r="C17">
        <f t="shared" si="0"/>
        <v>17.054416403785488</v>
      </c>
      <c r="F17">
        <v>2879.73</v>
      </c>
      <c r="G17">
        <v>779.44</v>
      </c>
      <c r="H17">
        <v>27.066426366360734</v>
      </c>
      <c r="I17" s="16" t="s">
        <v>1029</v>
      </c>
      <c r="M17">
        <v>904.8</v>
      </c>
      <c r="N17">
        <v>84.67</v>
      </c>
      <c r="O17">
        <v>9.3578691423519018</v>
      </c>
      <c r="P17" t="s">
        <v>1033</v>
      </c>
    </row>
    <row r="18" spans="1:16" x14ac:dyDescent="0.3">
      <c r="A18">
        <v>1443.36</v>
      </c>
      <c r="B18">
        <v>477.05</v>
      </c>
      <c r="C18">
        <f t="shared" si="0"/>
        <v>33.051352399955661</v>
      </c>
      <c r="F18">
        <v>2447.56</v>
      </c>
      <c r="G18">
        <v>802.16</v>
      </c>
      <c r="H18">
        <v>32.773864583503567</v>
      </c>
      <c r="I18" s="16" t="s">
        <v>1029</v>
      </c>
    </row>
    <row r="19" spans="1:16" x14ac:dyDescent="0.3">
      <c r="A19">
        <v>193.02</v>
      </c>
      <c r="B19">
        <v>58.57</v>
      </c>
      <c r="C19">
        <f t="shared" si="0"/>
        <v>30.34400580250751</v>
      </c>
      <c r="F19">
        <v>2462.4</v>
      </c>
      <c r="G19">
        <v>871.57</v>
      </c>
      <c r="H19">
        <v>35.395142949967514</v>
      </c>
      <c r="I19" s="16" t="s">
        <v>1029</v>
      </c>
    </row>
    <row r="20" spans="1:16" x14ac:dyDescent="0.3">
      <c r="A20">
        <v>893.18</v>
      </c>
      <c r="B20">
        <v>195.79</v>
      </c>
      <c r="C20">
        <f t="shared" si="0"/>
        <v>21.920553527844334</v>
      </c>
      <c r="F20">
        <v>2500.4</v>
      </c>
      <c r="G20">
        <v>933.59</v>
      </c>
      <c r="H20">
        <v>37.337625979843224</v>
      </c>
      <c r="I20" s="16" t="s">
        <v>1029</v>
      </c>
      <c r="M20" s="1" t="s">
        <v>8</v>
      </c>
      <c r="N20" s="1" t="s">
        <v>10</v>
      </c>
      <c r="O20" s="1" t="s">
        <v>999</v>
      </c>
      <c r="P20" s="17" t="s">
        <v>1026</v>
      </c>
    </row>
    <row r="21" spans="1:16" x14ac:dyDescent="0.3">
      <c r="A21">
        <v>1475.76</v>
      </c>
      <c r="B21">
        <v>310.36</v>
      </c>
      <c r="C21">
        <f t="shared" si="0"/>
        <v>21.030519867729172</v>
      </c>
      <c r="F21">
        <v>3247.6</v>
      </c>
      <c r="G21">
        <v>1240.69</v>
      </c>
      <c r="H21">
        <v>38.203288582337727</v>
      </c>
      <c r="I21" s="16" t="s">
        <v>1029</v>
      </c>
      <c r="M21">
        <v>429.94</v>
      </c>
      <c r="N21">
        <v>66.91</v>
      </c>
      <c r="O21">
        <v>15.562636646973996</v>
      </c>
      <c r="P21" t="s">
        <v>1034</v>
      </c>
    </row>
    <row r="22" spans="1:16" x14ac:dyDescent="0.3">
      <c r="A22">
        <v>412.62</v>
      </c>
      <c r="B22">
        <v>155.44</v>
      </c>
      <c r="C22">
        <f t="shared" si="0"/>
        <v>37.671465270709128</v>
      </c>
      <c r="F22">
        <v>2451.4299999999998</v>
      </c>
      <c r="G22">
        <v>960.39</v>
      </c>
      <c r="H22">
        <v>39.176725421488683</v>
      </c>
      <c r="I22" s="16" t="s">
        <v>1029</v>
      </c>
      <c r="M22">
        <v>1217.28</v>
      </c>
      <c r="N22">
        <v>207.6</v>
      </c>
      <c r="O22">
        <v>17.054416403785488</v>
      </c>
      <c r="P22" t="s">
        <v>1034</v>
      </c>
    </row>
    <row r="23" spans="1:16" x14ac:dyDescent="0.3">
      <c r="A23">
        <v>111</v>
      </c>
      <c r="B23">
        <v>29.24</v>
      </c>
      <c r="C23">
        <f t="shared" si="0"/>
        <v>26.342342342342342</v>
      </c>
      <c r="F23">
        <v>2108.04</v>
      </c>
      <c r="G23">
        <v>676.34</v>
      </c>
      <c r="H23">
        <v>32.083831426348645</v>
      </c>
      <c r="I23" s="16" t="s">
        <v>1029</v>
      </c>
      <c r="M23">
        <v>955.68</v>
      </c>
      <c r="N23">
        <v>164.11</v>
      </c>
      <c r="O23">
        <v>17.17206596350243</v>
      </c>
      <c r="P23" t="s">
        <v>1034</v>
      </c>
    </row>
    <row r="24" spans="1:16" x14ac:dyDescent="0.3">
      <c r="A24">
        <v>955.68</v>
      </c>
      <c r="B24">
        <v>164.11</v>
      </c>
      <c r="C24">
        <f t="shared" si="0"/>
        <v>17.17206596350243</v>
      </c>
      <c r="F24">
        <v>2065.3200000000002</v>
      </c>
      <c r="G24">
        <v>530.98</v>
      </c>
      <c r="H24">
        <v>25.709333178393663</v>
      </c>
      <c r="I24" s="16" t="s">
        <v>1029</v>
      </c>
      <c r="M24">
        <v>1377.48</v>
      </c>
      <c r="N24">
        <v>221.76</v>
      </c>
      <c r="O24">
        <v>16.098963324331386</v>
      </c>
      <c r="P24" t="s">
        <v>1034</v>
      </c>
    </row>
    <row r="25" spans="1:16" x14ac:dyDescent="0.3">
      <c r="A25">
        <v>1085.6199999999999</v>
      </c>
      <c r="B25">
        <v>313.47000000000003</v>
      </c>
      <c r="C25">
        <f t="shared" si="0"/>
        <v>28.874744385696658</v>
      </c>
      <c r="F25">
        <v>2356.11</v>
      </c>
      <c r="G25">
        <v>685.89</v>
      </c>
      <c r="H25">
        <v>29.111119599679132</v>
      </c>
      <c r="I25" s="16" t="s">
        <v>1029</v>
      </c>
      <c r="M25">
        <v>354.72</v>
      </c>
      <c r="N25">
        <v>63.32</v>
      </c>
      <c r="O25">
        <v>17.850699142986016</v>
      </c>
      <c r="P25" t="s">
        <v>1034</v>
      </c>
    </row>
    <row r="26" spans="1:16" x14ac:dyDescent="0.3">
      <c r="A26">
        <v>789.25</v>
      </c>
      <c r="B26">
        <v>232.78</v>
      </c>
      <c r="C26">
        <f t="shared" si="0"/>
        <v>29.493823249920808</v>
      </c>
      <c r="F26">
        <v>2158.65</v>
      </c>
      <c r="G26">
        <v>736.55</v>
      </c>
      <c r="H26">
        <v>34.120862576147125</v>
      </c>
      <c r="I26" s="16" t="s">
        <v>1029</v>
      </c>
      <c r="M26">
        <v>915.66</v>
      </c>
      <c r="N26">
        <v>145.72999999999999</v>
      </c>
      <c r="O26">
        <v>15.915296070593888</v>
      </c>
      <c r="P26" t="s">
        <v>1034</v>
      </c>
    </row>
    <row r="27" spans="1:16" x14ac:dyDescent="0.3">
      <c r="A27">
        <v>379.12</v>
      </c>
      <c r="B27">
        <v>151</v>
      </c>
      <c r="C27">
        <f t="shared" si="0"/>
        <v>39.829077864528379</v>
      </c>
      <c r="F27">
        <v>2396.8200000000002</v>
      </c>
      <c r="G27">
        <v>827.97</v>
      </c>
      <c r="H27">
        <v>34.544521490975541</v>
      </c>
      <c r="I27" s="16" t="s">
        <v>1029</v>
      </c>
      <c r="M27">
        <v>1082.4100000000001</v>
      </c>
      <c r="N27">
        <v>186.29</v>
      </c>
      <c r="O27">
        <v>17.210668785395551</v>
      </c>
      <c r="P27" t="s">
        <v>1034</v>
      </c>
    </row>
    <row r="28" spans="1:16" x14ac:dyDescent="0.3">
      <c r="A28">
        <v>1377.48</v>
      </c>
      <c r="B28">
        <v>221.76</v>
      </c>
      <c r="C28">
        <f t="shared" si="0"/>
        <v>16.098963324331386</v>
      </c>
      <c r="F28">
        <v>2223.6</v>
      </c>
      <c r="G28">
        <v>749.03</v>
      </c>
      <c r="H28">
        <v>33.685465011692749</v>
      </c>
      <c r="I28" s="16" t="s">
        <v>1029</v>
      </c>
      <c r="M28">
        <v>1218.6600000000001</v>
      </c>
      <c r="N28">
        <v>214.17</v>
      </c>
      <c r="O28">
        <v>17.574220865540838</v>
      </c>
      <c r="P28" t="s">
        <v>1034</v>
      </c>
    </row>
    <row r="29" spans="1:16" x14ac:dyDescent="0.3">
      <c r="A29">
        <v>237.78</v>
      </c>
      <c r="B29">
        <v>94.7</v>
      </c>
      <c r="C29">
        <f t="shared" si="0"/>
        <v>39.826730591302884</v>
      </c>
      <c r="F29">
        <v>2095.08</v>
      </c>
      <c r="G29">
        <v>824.95</v>
      </c>
      <c r="H29">
        <v>39.375584703209427</v>
      </c>
      <c r="I29" s="16" t="s">
        <v>1029</v>
      </c>
      <c r="M29">
        <v>800.4</v>
      </c>
      <c r="N29">
        <v>144.11000000000001</v>
      </c>
      <c r="O29">
        <v>18.004747626186909</v>
      </c>
      <c r="P29" t="s">
        <v>1034</v>
      </c>
    </row>
    <row r="30" spans="1:16" x14ac:dyDescent="0.3">
      <c r="A30">
        <v>2462.4</v>
      </c>
      <c r="B30">
        <v>871.57</v>
      </c>
      <c r="C30">
        <f t="shared" si="0"/>
        <v>35.395142949967514</v>
      </c>
      <c r="F30">
        <v>3220</v>
      </c>
      <c r="G30">
        <v>1219.8900000000001</v>
      </c>
      <c r="H30">
        <v>37.884782608695659</v>
      </c>
      <c r="I30" s="16" t="s">
        <v>1029</v>
      </c>
      <c r="M30">
        <v>1673.28</v>
      </c>
      <c r="N30">
        <v>196.54</v>
      </c>
      <c r="O30">
        <v>11.745792694587875</v>
      </c>
      <c r="P30" t="s">
        <v>1034</v>
      </c>
    </row>
    <row r="31" spans="1:16" x14ac:dyDescent="0.3">
      <c r="A31">
        <v>44.98</v>
      </c>
      <c r="B31">
        <v>17.170000000000002</v>
      </c>
      <c r="C31">
        <f t="shared" si="0"/>
        <v>38.172521120498004</v>
      </c>
      <c r="F31">
        <v>2596.5</v>
      </c>
      <c r="G31">
        <v>918.98</v>
      </c>
      <c r="H31">
        <v>35.393029077604474</v>
      </c>
      <c r="I31" s="16" t="s">
        <v>1029</v>
      </c>
      <c r="M31">
        <v>288.45</v>
      </c>
      <c r="N31">
        <v>35.729999999999997</v>
      </c>
      <c r="O31">
        <v>12.386895475819031</v>
      </c>
      <c r="P31" t="s">
        <v>1034</v>
      </c>
    </row>
    <row r="32" spans="1:16" x14ac:dyDescent="0.3">
      <c r="A32">
        <v>113.22</v>
      </c>
      <c r="B32">
        <v>25.18</v>
      </c>
      <c r="C32">
        <f t="shared" si="0"/>
        <v>22.2398869457693</v>
      </c>
      <c r="F32">
        <v>2193.6</v>
      </c>
      <c r="G32">
        <v>704.34</v>
      </c>
      <c r="H32">
        <v>32.108862144420137</v>
      </c>
      <c r="I32" s="16" t="s">
        <v>1029</v>
      </c>
      <c r="M32">
        <v>801.84</v>
      </c>
      <c r="N32">
        <v>153.79</v>
      </c>
      <c r="O32">
        <v>19.179636835278856</v>
      </c>
      <c r="P32" t="s">
        <v>1034</v>
      </c>
    </row>
    <row r="33" spans="1:16" x14ac:dyDescent="0.3">
      <c r="A33">
        <v>477.6</v>
      </c>
      <c r="B33">
        <v>157.06</v>
      </c>
      <c r="C33">
        <f t="shared" si="0"/>
        <v>32.88525963149079</v>
      </c>
      <c r="F33">
        <v>2157.6</v>
      </c>
      <c r="G33">
        <v>665.19</v>
      </c>
      <c r="H33">
        <v>30.830088987764189</v>
      </c>
      <c r="I33" s="16" t="s">
        <v>1029</v>
      </c>
      <c r="M33">
        <v>1118</v>
      </c>
      <c r="N33">
        <v>180.41</v>
      </c>
      <c r="O33">
        <v>16.136851520572453</v>
      </c>
      <c r="P33" t="s">
        <v>1034</v>
      </c>
    </row>
    <row r="34" spans="1:16" x14ac:dyDescent="0.3">
      <c r="A34">
        <v>1123.98</v>
      </c>
      <c r="B34">
        <v>234.78</v>
      </c>
      <c r="C34">
        <f t="shared" si="0"/>
        <v>20.888272033310201</v>
      </c>
      <c r="F34">
        <v>2100.84</v>
      </c>
      <c r="G34">
        <v>835.19</v>
      </c>
      <c r="H34">
        <v>39.755050360808056</v>
      </c>
      <c r="I34" s="16" t="s">
        <v>1029</v>
      </c>
      <c r="M34">
        <v>433.42</v>
      </c>
      <c r="N34">
        <v>69.13</v>
      </c>
      <c r="O34">
        <v>15.949886945687783</v>
      </c>
      <c r="P34" t="s">
        <v>1034</v>
      </c>
    </row>
    <row r="35" spans="1:16" x14ac:dyDescent="0.3">
      <c r="A35">
        <v>1127.78</v>
      </c>
      <c r="B35">
        <v>366.63</v>
      </c>
      <c r="C35">
        <f t="shared" si="0"/>
        <v>32.508999982266047</v>
      </c>
      <c r="F35">
        <v>2648.45</v>
      </c>
      <c r="G35">
        <v>866.65</v>
      </c>
      <c r="H35">
        <v>32.722913402178634</v>
      </c>
      <c r="I35" s="16" t="s">
        <v>1029</v>
      </c>
      <c r="M35">
        <v>1115.8</v>
      </c>
      <c r="N35">
        <v>175.93</v>
      </c>
      <c r="O35">
        <v>15.767162573937982</v>
      </c>
      <c r="P35" t="s">
        <v>1034</v>
      </c>
    </row>
    <row r="36" spans="1:16" x14ac:dyDescent="0.3">
      <c r="A36">
        <v>135.47999999999999</v>
      </c>
      <c r="B36">
        <v>28.89</v>
      </c>
      <c r="C36">
        <f t="shared" si="0"/>
        <v>21.324180690876883</v>
      </c>
      <c r="F36">
        <v>2121.9499999999998</v>
      </c>
      <c r="G36">
        <v>790.56</v>
      </c>
      <c r="H36">
        <v>37.25629727373407</v>
      </c>
      <c r="I36" s="16" t="s">
        <v>1029</v>
      </c>
      <c r="M36">
        <v>750.59</v>
      </c>
      <c r="N36">
        <v>102.79</v>
      </c>
      <c r="O36">
        <v>13.694560279246993</v>
      </c>
      <c r="P36" t="s">
        <v>1034</v>
      </c>
    </row>
    <row r="37" spans="1:16" x14ac:dyDescent="0.3">
      <c r="A37">
        <v>646.5</v>
      </c>
      <c r="B37">
        <v>228.61</v>
      </c>
      <c r="C37">
        <f t="shared" si="0"/>
        <v>35.36117556071153</v>
      </c>
      <c r="F37">
        <v>2656.6</v>
      </c>
      <c r="G37">
        <v>1116.3</v>
      </c>
      <c r="H37">
        <v>42.019875028231574</v>
      </c>
      <c r="I37" s="16" t="s">
        <v>1029</v>
      </c>
      <c r="M37">
        <v>1968.3</v>
      </c>
      <c r="N37">
        <v>312.75</v>
      </c>
      <c r="O37">
        <v>15.889346136259716</v>
      </c>
      <c r="P37" t="s">
        <v>1034</v>
      </c>
    </row>
    <row r="38" spans="1:16" x14ac:dyDescent="0.3">
      <c r="A38">
        <v>354.72</v>
      </c>
      <c r="B38">
        <v>63.32</v>
      </c>
      <c r="C38">
        <f t="shared" si="0"/>
        <v>17.850699142986016</v>
      </c>
      <c r="F38">
        <v>2233.91</v>
      </c>
      <c r="G38">
        <v>460</v>
      </c>
      <c r="H38">
        <v>20.591697964555422</v>
      </c>
      <c r="I38" s="16" t="s">
        <v>1029</v>
      </c>
      <c r="M38">
        <v>502.84</v>
      </c>
      <c r="N38">
        <v>73.33</v>
      </c>
      <c r="O38">
        <v>14.583167607986635</v>
      </c>
      <c r="P38" t="s">
        <v>1034</v>
      </c>
    </row>
    <row r="39" spans="1:16" x14ac:dyDescent="0.3">
      <c r="A39">
        <v>141.44</v>
      </c>
      <c r="B39">
        <v>32.78</v>
      </c>
      <c r="C39">
        <f t="shared" si="0"/>
        <v>23.175904977375566</v>
      </c>
      <c r="F39">
        <v>2203.5</v>
      </c>
      <c r="G39">
        <v>501.92</v>
      </c>
      <c r="H39">
        <v>22.778307238484231</v>
      </c>
      <c r="I39" s="16" t="s">
        <v>1029</v>
      </c>
      <c r="M39">
        <v>509.52</v>
      </c>
      <c r="N39">
        <v>69.069999999999993</v>
      </c>
      <c r="O39">
        <v>13.555895745014915</v>
      </c>
      <c r="P39" t="s">
        <v>1034</v>
      </c>
    </row>
    <row r="40" spans="1:16" x14ac:dyDescent="0.3">
      <c r="A40">
        <v>879.76</v>
      </c>
      <c r="B40">
        <v>250.44</v>
      </c>
      <c r="C40">
        <f t="shared" si="0"/>
        <v>28.466854596708192</v>
      </c>
      <c r="F40">
        <v>2201.5</v>
      </c>
      <c r="G40">
        <v>773.45</v>
      </c>
      <c r="H40">
        <v>35.132863956393365</v>
      </c>
      <c r="I40" s="16" t="s">
        <v>1029</v>
      </c>
      <c r="M40">
        <v>136.08000000000001</v>
      </c>
      <c r="N40">
        <v>25.24</v>
      </c>
      <c r="O40">
        <v>18.547912992357436</v>
      </c>
      <c r="P40" t="s">
        <v>1034</v>
      </c>
    </row>
    <row r="41" spans="1:16" x14ac:dyDescent="0.3">
      <c r="A41">
        <v>1929.2</v>
      </c>
      <c r="B41">
        <v>645.98</v>
      </c>
      <c r="C41">
        <f t="shared" si="0"/>
        <v>33.484345842836412</v>
      </c>
      <c r="F41">
        <v>2379.96</v>
      </c>
      <c r="G41">
        <v>865.57</v>
      </c>
      <c r="H41">
        <v>36.369098640313283</v>
      </c>
      <c r="I41" s="16" t="s">
        <v>1029</v>
      </c>
      <c r="M41">
        <v>1381.76</v>
      </c>
      <c r="N41">
        <v>269.22000000000003</v>
      </c>
      <c r="O41">
        <v>19.483846688281613</v>
      </c>
      <c r="P41" t="s">
        <v>1034</v>
      </c>
    </row>
    <row r="42" spans="1:16" x14ac:dyDescent="0.3">
      <c r="A42">
        <v>1391.54</v>
      </c>
      <c r="B42">
        <v>435.78</v>
      </c>
      <c r="C42">
        <f t="shared" si="0"/>
        <v>31.316383287580663</v>
      </c>
      <c r="F42">
        <v>2204.48</v>
      </c>
      <c r="G42">
        <v>772.43</v>
      </c>
      <c r="H42">
        <v>35.039102191900128</v>
      </c>
      <c r="I42" s="16" t="s">
        <v>1029</v>
      </c>
      <c r="M42">
        <v>546.65</v>
      </c>
      <c r="N42">
        <v>83.93</v>
      </c>
      <c r="O42">
        <v>15.353516875514501</v>
      </c>
      <c r="P42" t="s">
        <v>1034</v>
      </c>
    </row>
    <row r="43" spans="1:16" x14ac:dyDescent="0.3">
      <c r="A43">
        <v>768.6</v>
      </c>
      <c r="B43">
        <v>258.52999999999997</v>
      </c>
      <c r="C43">
        <f t="shared" si="0"/>
        <v>33.636481915170435</v>
      </c>
      <c r="F43">
        <v>2510.2800000000002</v>
      </c>
      <c r="G43">
        <v>939.91</v>
      </c>
      <c r="H43">
        <v>37.442436700288411</v>
      </c>
      <c r="I43" s="16" t="s">
        <v>1029</v>
      </c>
      <c r="M43">
        <v>292.95</v>
      </c>
      <c r="N43">
        <v>53.3</v>
      </c>
      <c r="O43">
        <v>18.194231097456903</v>
      </c>
      <c r="P43" t="s">
        <v>1034</v>
      </c>
    </row>
    <row r="44" spans="1:16" x14ac:dyDescent="0.3">
      <c r="A44">
        <v>806.61</v>
      </c>
      <c r="B44">
        <v>210.38</v>
      </c>
      <c r="C44">
        <f t="shared" si="0"/>
        <v>26.081997495691844</v>
      </c>
      <c r="F44">
        <v>2258.4</v>
      </c>
      <c r="G44">
        <v>734.96</v>
      </c>
      <c r="H44">
        <v>32.543393552957845</v>
      </c>
      <c r="I44" s="16" t="s">
        <v>1029</v>
      </c>
      <c r="M44">
        <v>937.8</v>
      </c>
      <c r="N44">
        <v>185</v>
      </c>
      <c r="O44">
        <v>19.727020686713587</v>
      </c>
      <c r="P44" t="s">
        <v>1034</v>
      </c>
    </row>
    <row r="45" spans="1:16" x14ac:dyDescent="0.3">
      <c r="A45">
        <v>2500.4</v>
      </c>
      <c r="B45">
        <v>933.59</v>
      </c>
      <c r="C45">
        <f t="shared" si="0"/>
        <v>37.337625979843224</v>
      </c>
      <c r="F45">
        <v>2119.5</v>
      </c>
      <c r="G45">
        <v>739.34</v>
      </c>
      <c r="H45">
        <v>34.882755366831802</v>
      </c>
      <c r="I45" s="16" t="s">
        <v>1029</v>
      </c>
      <c r="M45">
        <v>1170.3900000000001</v>
      </c>
      <c r="N45">
        <v>134.96</v>
      </c>
      <c r="O45">
        <v>11.531199002042055</v>
      </c>
      <c r="P45" t="s">
        <v>1034</v>
      </c>
    </row>
    <row r="46" spans="1:16" x14ac:dyDescent="0.3">
      <c r="A46">
        <v>286.55</v>
      </c>
      <c r="B46">
        <v>75.16</v>
      </c>
      <c r="C46">
        <f t="shared" si="0"/>
        <v>26.229279357878205</v>
      </c>
      <c r="F46">
        <v>2151.59</v>
      </c>
      <c r="G46">
        <v>863.04</v>
      </c>
      <c r="H46">
        <v>40.111731324276462</v>
      </c>
      <c r="I46" s="16" t="s">
        <v>1029</v>
      </c>
      <c r="M46">
        <v>1551.9</v>
      </c>
      <c r="N46">
        <v>301.64</v>
      </c>
      <c r="O46">
        <v>19.436819382692182</v>
      </c>
      <c r="P46" t="s">
        <v>1034</v>
      </c>
    </row>
    <row r="47" spans="1:16" x14ac:dyDescent="0.3">
      <c r="A47">
        <v>1226.82</v>
      </c>
      <c r="B47">
        <v>430.27</v>
      </c>
      <c r="C47">
        <f t="shared" si="0"/>
        <v>35.07197469881482</v>
      </c>
      <c r="F47">
        <v>2546.5300000000002</v>
      </c>
      <c r="G47">
        <v>719.27</v>
      </c>
      <c r="H47">
        <v>28.245102158623691</v>
      </c>
      <c r="I47" s="16" t="s">
        <v>1029</v>
      </c>
      <c r="M47">
        <v>1454.1</v>
      </c>
      <c r="N47">
        <v>203.02</v>
      </c>
      <c r="O47">
        <v>13.961900832129842</v>
      </c>
      <c r="P47" t="s">
        <v>1034</v>
      </c>
    </row>
    <row r="48" spans="1:16" x14ac:dyDescent="0.3">
      <c r="A48">
        <v>514.08000000000004</v>
      </c>
      <c r="B48">
        <v>155.34</v>
      </c>
      <c r="C48">
        <f t="shared" si="0"/>
        <v>30.217086834733891</v>
      </c>
      <c r="F48">
        <v>2239.36</v>
      </c>
      <c r="G48">
        <v>825.85</v>
      </c>
      <c r="H48">
        <v>36.878840382966558</v>
      </c>
      <c r="I48" s="16" t="s">
        <v>1029</v>
      </c>
      <c r="M48">
        <v>735.76</v>
      </c>
      <c r="N48">
        <v>140.80000000000001</v>
      </c>
      <c r="O48">
        <v>19.136675002718277</v>
      </c>
      <c r="P48" t="s">
        <v>1034</v>
      </c>
    </row>
    <row r="49" spans="1:16" x14ac:dyDescent="0.3">
      <c r="A49">
        <v>556.02</v>
      </c>
      <c r="B49">
        <v>220.02</v>
      </c>
      <c r="C49">
        <f t="shared" si="0"/>
        <v>39.570519046077486</v>
      </c>
      <c r="F49">
        <v>2485.6999999999998</v>
      </c>
      <c r="G49">
        <v>948.48</v>
      </c>
      <c r="H49">
        <v>38.157460675061358</v>
      </c>
      <c r="I49" s="16" t="s">
        <v>1029</v>
      </c>
      <c r="M49">
        <v>1965.6</v>
      </c>
      <c r="N49">
        <v>375.26</v>
      </c>
      <c r="O49">
        <v>19.09137159137159</v>
      </c>
      <c r="P49" t="s">
        <v>1034</v>
      </c>
    </row>
    <row r="50" spans="1:16" x14ac:dyDescent="0.3">
      <c r="A50">
        <v>1100.6099999999999</v>
      </c>
      <c r="B50">
        <v>284.51</v>
      </c>
      <c r="C50">
        <f t="shared" si="0"/>
        <v>25.85021033790353</v>
      </c>
      <c r="F50">
        <v>2239</v>
      </c>
      <c r="G50">
        <v>469.03</v>
      </c>
      <c r="H50">
        <v>20.948191156766413</v>
      </c>
      <c r="I50" s="16" t="s">
        <v>1029</v>
      </c>
      <c r="M50">
        <v>2055.5</v>
      </c>
      <c r="N50">
        <v>359.89</v>
      </c>
      <c r="O50">
        <v>17.508635368523471</v>
      </c>
      <c r="P50" t="s">
        <v>1034</v>
      </c>
    </row>
    <row r="51" spans="1:16" x14ac:dyDescent="0.3">
      <c r="A51">
        <v>656.88</v>
      </c>
      <c r="B51">
        <v>167.02</v>
      </c>
      <c r="C51">
        <f t="shared" si="0"/>
        <v>25.426257459505543</v>
      </c>
      <c r="F51">
        <v>2169.1999999999998</v>
      </c>
      <c r="G51">
        <v>739.55</v>
      </c>
      <c r="H51">
        <v>34.093214088143093</v>
      </c>
      <c r="I51" s="16" t="s">
        <v>1029</v>
      </c>
      <c r="M51">
        <v>883.92</v>
      </c>
      <c r="N51">
        <v>125.77</v>
      </c>
      <c r="O51">
        <v>14.228663227441398</v>
      </c>
      <c r="P51" t="s">
        <v>1034</v>
      </c>
    </row>
    <row r="52" spans="1:16" x14ac:dyDescent="0.3">
      <c r="A52">
        <v>1057.3900000000001</v>
      </c>
      <c r="B52">
        <v>248.17</v>
      </c>
      <c r="C52">
        <f t="shared" si="0"/>
        <v>23.470053622599039</v>
      </c>
      <c r="F52">
        <v>2230.5</v>
      </c>
      <c r="G52">
        <v>739.18</v>
      </c>
      <c r="H52">
        <v>33.139654785922431</v>
      </c>
      <c r="I52" s="16" t="s">
        <v>1029</v>
      </c>
      <c r="M52">
        <v>1360.53</v>
      </c>
      <c r="N52">
        <v>174.13</v>
      </c>
      <c r="O52">
        <v>12.798688746297399</v>
      </c>
      <c r="P52" t="s">
        <v>1034</v>
      </c>
    </row>
    <row r="53" spans="1:16" x14ac:dyDescent="0.3">
      <c r="A53">
        <v>1686.33</v>
      </c>
      <c r="B53">
        <v>458.21</v>
      </c>
      <c r="C53">
        <f t="shared" si="0"/>
        <v>27.172024455474315</v>
      </c>
      <c r="M53">
        <v>634.48</v>
      </c>
      <c r="N53">
        <v>114.93</v>
      </c>
      <c r="O53">
        <v>18.114046148026731</v>
      </c>
      <c r="P53" t="s">
        <v>1034</v>
      </c>
    </row>
    <row r="54" spans="1:16" x14ac:dyDescent="0.3">
      <c r="A54">
        <v>1837.11</v>
      </c>
      <c r="B54">
        <v>372.79</v>
      </c>
      <c r="C54">
        <f t="shared" si="0"/>
        <v>20.29219807197174</v>
      </c>
      <c r="M54">
        <v>442.98</v>
      </c>
      <c r="N54">
        <v>55.99</v>
      </c>
      <c r="O54">
        <v>12.639396812497179</v>
      </c>
      <c r="P54" t="s">
        <v>1034</v>
      </c>
    </row>
    <row r="55" spans="1:16" x14ac:dyDescent="0.3">
      <c r="A55">
        <v>915.66</v>
      </c>
      <c r="B55">
        <v>145.72999999999999</v>
      </c>
      <c r="C55">
        <f t="shared" si="0"/>
        <v>15.915296070593888</v>
      </c>
      <c r="M55">
        <v>314.8</v>
      </c>
      <c r="N55">
        <v>54.57</v>
      </c>
      <c r="O55">
        <v>17.334815756035578</v>
      </c>
      <c r="P55" t="s">
        <v>1034</v>
      </c>
    </row>
    <row r="56" spans="1:16" x14ac:dyDescent="0.3">
      <c r="A56">
        <v>373.8</v>
      </c>
      <c r="B56">
        <v>144.96</v>
      </c>
      <c r="C56">
        <f t="shared" si="0"/>
        <v>38.780096308186195</v>
      </c>
      <c r="M56">
        <v>1612.44</v>
      </c>
      <c r="N56">
        <v>283.83999999999997</v>
      </c>
      <c r="O56">
        <v>17.603135620550219</v>
      </c>
      <c r="P56" t="s">
        <v>1034</v>
      </c>
    </row>
    <row r="57" spans="1:16" x14ac:dyDescent="0.3">
      <c r="A57">
        <v>463.36</v>
      </c>
      <c r="B57">
        <v>139.71</v>
      </c>
      <c r="C57">
        <f t="shared" si="0"/>
        <v>30.151502071823206</v>
      </c>
      <c r="M57">
        <v>56.58</v>
      </c>
      <c r="N57">
        <v>7.47</v>
      </c>
      <c r="O57">
        <v>13.20254506892895</v>
      </c>
      <c r="P57" t="s">
        <v>1034</v>
      </c>
    </row>
    <row r="58" spans="1:16" x14ac:dyDescent="0.3">
      <c r="A58">
        <v>1082.4100000000001</v>
      </c>
      <c r="B58">
        <v>186.29</v>
      </c>
      <c r="C58">
        <f t="shared" si="0"/>
        <v>17.210668785395551</v>
      </c>
      <c r="M58">
        <v>1424</v>
      </c>
      <c r="N58">
        <v>260.08</v>
      </c>
      <c r="O58">
        <v>18.264044943820224</v>
      </c>
      <c r="P58" t="s">
        <v>1034</v>
      </c>
    </row>
    <row r="59" spans="1:16" x14ac:dyDescent="0.3">
      <c r="A59">
        <v>900.54</v>
      </c>
      <c r="B59">
        <v>202.1</v>
      </c>
      <c r="C59">
        <f t="shared" si="0"/>
        <v>22.44209030137473</v>
      </c>
      <c r="M59">
        <v>318.07</v>
      </c>
      <c r="N59">
        <v>32.54</v>
      </c>
      <c r="O59">
        <v>10.230452416134813</v>
      </c>
      <c r="P59" t="s">
        <v>1034</v>
      </c>
    </row>
    <row r="60" spans="1:16" x14ac:dyDescent="0.3">
      <c r="A60">
        <v>1218.6600000000001</v>
      </c>
      <c r="B60">
        <v>214.17</v>
      </c>
      <c r="C60">
        <f t="shared" si="0"/>
        <v>17.574220865540838</v>
      </c>
      <c r="M60">
        <v>1060.29</v>
      </c>
      <c r="N60">
        <v>187.95</v>
      </c>
      <c r="O60">
        <v>17.726282432164783</v>
      </c>
      <c r="P60" t="s">
        <v>1034</v>
      </c>
    </row>
    <row r="61" spans="1:16" x14ac:dyDescent="0.3">
      <c r="A61">
        <v>1172.08</v>
      </c>
      <c r="B61">
        <v>375.08</v>
      </c>
      <c r="C61">
        <f t="shared" si="0"/>
        <v>32.001228585079517</v>
      </c>
      <c r="M61">
        <v>1770.38</v>
      </c>
      <c r="N61">
        <v>206.98</v>
      </c>
      <c r="O61">
        <v>11.691275319422948</v>
      </c>
      <c r="P61" t="s">
        <v>1034</v>
      </c>
    </row>
    <row r="62" spans="1:16" x14ac:dyDescent="0.3">
      <c r="A62">
        <v>3247.6</v>
      </c>
      <c r="B62">
        <v>1240.69</v>
      </c>
      <c r="C62">
        <f t="shared" si="0"/>
        <v>38.203288582337727</v>
      </c>
      <c r="M62">
        <v>157.9</v>
      </c>
      <c r="N62">
        <v>29.17</v>
      </c>
      <c r="O62">
        <v>18.473717542748574</v>
      </c>
      <c r="P62" t="s">
        <v>1034</v>
      </c>
    </row>
    <row r="63" spans="1:16" x14ac:dyDescent="0.3">
      <c r="A63">
        <v>800.4</v>
      </c>
      <c r="B63">
        <v>144.11000000000001</v>
      </c>
      <c r="C63">
        <f t="shared" si="0"/>
        <v>18.004747626186909</v>
      </c>
      <c r="M63">
        <v>351.56</v>
      </c>
      <c r="N63">
        <v>69.59</v>
      </c>
      <c r="O63">
        <v>19.79462965069974</v>
      </c>
      <c r="P63" t="s">
        <v>1034</v>
      </c>
    </row>
    <row r="64" spans="1:16" x14ac:dyDescent="0.3">
      <c r="A64">
        <v>1673.28</v>
      </c>
      <c r="B64">
        <v>196.54</v>
      </c>
      <c r="C64">
        <f t="shared" si="0"/>
        <v>11.745792694587875</v>
      </c>
      <c r="M64">
        <v>644.86</v>
      </c>
      <c r="N64">
        <v>120.36</v>
      </c>
      <c r="O64">
        <v>18.664516329125703</v>
      </c>
      <c r="P64" t="s">
        <v>1034</v>
      </c>
    </row>
    <row r="65" spans="1:16" x14ac:dyDescent="0.3">
      <c r="A65">
        <v>1186.06</v>
      </c>
      <c r="B65">
        <v>341.73</v>
      </c>
      <c r="C65">
        <f t="shared" si="0"/>
        <v>28.812201743588016</v>
      </c>
      <c r="M65">
        <v>229.6</v>
      </c>
      <c r="N65">
        <v>31.34</v>
      </c>
      <c r="O65">
        <v>13.649825783972124</v>
      </c>
      <c r="P65" t="s">
        <v>1034</v>
      </c>
    </row>
    <row r="66" spans="1:16" x14ac:dyDescent="0.3">
      <c r="A66">
        <v>46.18</v>
      </c>
      <c r="B66">
        <v>12.66</v>
      </c>
      <c r="C66">
        <f t="shared" si="0"/>
        <v>27.414465136422695</v>
      </c>
      <c r="M66">
        <v>318.95999999999998</v>
      </c>
      <c r="N66">
        <v>47.01</v>
      </c>
      <c r="O66">
        <v>14.738525206922498</v>
      </c>
      <c r="P66" t="s">
        <v>1034</v>
      </c>
    </row>
    <row r="67" spans="1:16" x14ac:dyDescent="0.3">
      <c r="A67">
        <v>1872.4</v>
      </c>
      <c r="B67">
        <v>549.39</v>
      </c>
      <c r="C67">
        <f t="shared" ref="C67:C130" si="1">B67/A67*100</f>
        <v>29.341486861781668</v>
      </c>
      <c r="M67">
        <v>515.05999999999995</v>
      </c>
      <c r="N67">
        <v>101.76</v>
      </c>
      <c r="O67">
        <v>19.756921523705977</v>
      </c>
      <c r="P67" t="s">
        <v>1034</v>
      </c>
    </row>
    <row r="68" spans="1:16" x14ac:dyDescent="0.3">
      <c r="A68">
        <v>2451.4299999999998</v>
      </c>
      <c r="B68">
        <v>960.39</v>
      </c>
      <c r="C68">
        <f t="shared" si="1"/>
        <v>39.176725421488683</v>
      </c>
      <c r="M68">
        <v>786.45</v>
      </c>
      <c r="N68">
        <v>136.05000000000001</v>
      </c>
      <c r="O68">
        <v>17.299256151058554</v>
      </c>
      <c r="P68" t="s">
        <v>1034</v>
      </c>
    </row>
    <row r="69" spans="1:16" x14ac:dyDescent="0.3">
      <c r="A69">
        <v>333.45</v>
      </c>
      <c r="B69">
        <v>125.31</v>
      </c>
      <c r="C69">
        <f t="shared" si="1"/>
        <v>37.579847053531267</v>
      </c>
      <c r="M69">
        <v>347.76</v>
      </c>
      <c r="N69">
        <v>47.42</v>
      </c>
      <c r="O69">
        <v>13.635840809753855</v>
      </c>
      <c r="P69" t="s">
        <v>1034</v>
      </c>
    </row>
    <row r="70" spans="1:16" x14ac:dyDescent="0.3">
      <c r="A70">
        <v>288.45</v>
      </c>
      <c r="B70">
        <v>35.729999999999997</v>
      </c>
      <c r="C70">
        <f t="shared" si="1"/>
        <v>12.386895475819031</v>
      </c>
      <c r="M70">
        <v>342.9</v>
      </c>
      <c r="N70">
        <v>45.74</v>
      </c>
      <c r="O70">
        <v>13.339165937591135</v>
      </c>
      <c r="P70" t="s">
        <v>1034</v>
      </c>
    </row>
    <row r="71" spans="1:16" x14ac:dyDescent="0.3">
      <c r="A71">
        <v>1548.36</v>
      </c>
      <c r="B71">
        <v>559.6</v>
      </c>
      <c r="C71">
        <f t="shared" si="1"/>
        <v>36.141465808984996</v>
      </c>
      <c r="M71">
        <v>1748.32</v>
      </c>
      <c r="N71">
        <v>251.85</v>
      </c>
      <c r="O71">
        <v>14.405257618742565</v>
      </c>
      <c r="P71" t="s">
        <v>1034</v>
      </c>
    </row>
    <row r="72" spans="1:16" x14ac:dyDescent="0.3">
      <c r="A72">
        <v>2108.04</v>
      </c>
      <c r="B72">
        <v>676.34</v>
      </c>
      <c r="C72">
        <f t="shared" si="1"/>
        <v>32.083831426348645</v>
      </c>
      <c r="M72">
        <v>710.47</v>
      </c>
      <c r="N72">
        <v>116.73</v>
      </c>
      <c r="O72">
        <v>16.429968893830843</v>
      </c>
      <c r="P72" t="s">
        <v>1034</v>
      </c>
    </row>
    <row r="73" spans="1:16" x14ac:dyDescent="0.3">
      <c r="A73">
        <v>989.82</v>
      </c>
      <c r="B73">
        <v>237</v>
      </c>
      <c r="C73">
        <f t="shared" si="1"/>
        <v>23.943747348002667</v>
      </c>
      <c r="M73">
        <v>85.08</v>
      </c>
      <c r="N73">
        <v>13.12</v>
      </c>
      <c r="O73">
        <v>15.420780441936998</v>
      </c>
      <c r="P73" t="s">
        <v>1034</v>
      </c>
    </row>
    <row r="74" spans="1:16" x14ac:dyDescent="0.3">
      <c r="A74">
        <v>350.82</v>
      </c>
      <c r="B74">
        <v>100.26</v>
      </c>
      <c r="C74">
        <f t="shared" si="1"/>
        <v>28.578758337609035</v>
      </c>
      <c r="M74">
        <v>469.8</v>
      </c>
      <c r="N74">
        <v>78.3</v>
      </c>
      <c r="O74">
        <v>16.666666666666664</v>
      </c>
      <c r="P74" t="s">
        <v>1034</v>
      </c>
    </row>
    <row r="75" spans="1:16" x14ac:dyDescent="0.3">
      <c r="A75">
        <v>502.04</v>
      </c>
      <c r="B75">
        <v>181.91</v>
      </c>
      <c r="C75">
        <f t="shared" si="1"/>
        <v>36.234164608397734</v>
      </c>
      <c r="M75">
        <v>577.53</v>
      </c>
      <c r="N75">
        <v>60.38</v>
      </c>
      <c r="O75">
        <v>10.454868145377731</v>
      </c>
      <c r="P75" t="s">
        <v>1034</v>
      </c>
    </row>
    <row r="76" spans="1:16" x14ac:dyDescent="0.3">
      <c r="A76">
        <v>1047.1300000000001</v>
      </c>
      <c r="B76">
        <v>221.65</v>
      </c>
      <c r="C76">
        <f t="shared" si="1"/>
        <v>21.167381318460933</v>
      </c>
      <c r="M76">
        <v>333.88</v>
      </c>
      <c r="N76">
        <v>48.15</v>
      </c>
      <c r="O76">
        <v>14.421348987660238</v>
      </c>
      <c r="P76" t="s">
        <v>1034</v>
      </c>
    </row>
    <row r="77" spans="1:16" x14ac:dyDescent="0.3">
      <c r="A77">
        <v>1031.94</v>
      </c>
      <c r="B77">
        <v>219.49</v>
      </c>
      <c r="C77">
        <f t="shared" si="1"/>
        <v>21.26964746012365</v>
      </c>
      <c r="M77">
        <v>1917</v>
      </c>
      <c r="N77">
        <v>237.73</v>
      </c>
      <c r="O77">
        <v>12.401147626499737</v>
      </c>
      <c r="P77" t="s">
        <v>1034</v>
      </c>
    </row>
    <row r="78" spans="1:16" x14ac:dyDescent="0.3">
      <c r="A78">
        <v>1108.3800000000001</v>
      </c>
      <c r="B78">
        <v>307.82</v>
      </c>
      <c r="C78">
        <f t="shared" si="1"/>
        <v>27.772063732654861</v>
      </c>
      <c r="M78">
        <v>167.46</v>
      </c>
      <c r="N78">
        <v>22.45</v>
      </c>
      <c r="O78">
        <v>13.40618655201242</v>
      </c>
      <c r="P78" t="s">
        <v>1034</v>
      </c>
    </row>
    <row r="79" spans="1:16" x14ac:dyDescent="0.3">
      <c r="A79">
        <v>1486.5</v>
      </c>
      <c r="B79">
        <v>389.73</v>
      </c>
      <c r="C79">
        <f t="shared" si="1"/>
        <v>26.217961654894044</v>
      </c>
      <c r="M79">
        <v>764.12</v>
      </c>
      <c r="N79">
        <v>108.34</v>
      </c>
      <c r="O79">
        <v>14.17840129822541</v>
      </c>
      <c r="P79" t="s">
        <v>1034</v>
      </c>
    </row>
    <row r="80" spans="1:16" x14ac:dyDescent="0.3">
      <c r="A80">
        <v>801.84</v>
      </c>
      <c r="B80">
        <v>153.79</v>
      </c>
      <c r="C80">
        <f t="shared" si="1"/>
        <v>19.179636835278856</v>
      </c>
      <c r="M80">
        <v>622.35</v>
      </c>
      <c r="N80">
        <v>115.91</v>
      </c>
      <c r="O80">
        <v>18.624568169036714</v>
      </c>
      <c r="P80" t="s">
        <v>1034</v>
      </c>
    </row>
    <row r="81" spans="1:16" x14ac:dyDescent="0.3">
      <c r="A81">
        <v>1169.28</v>
      </c>
      <c r="B81">
        <v>343.68</v>
      </c>
      <c r="C81">
        <f t="shared" si="1"/>
        <v>29.392446633825948</v>
      </c>
      <c r="M81">
        <v>388</v>
      </c>
      <c r="N81">
        <v>51.61</v>
      </c>
      <c r="O81">
        <v>13.301546391752577</v>
      </c>
      <c r="P81" t="s">
        <v>1034</v>
      </c>
    </row>
    <row r="82" spans="1:16" x14ac:dyDescent="0.3">
      <c r="A82">
        <v>1118</v>
      </c>
      <c r="B82">
        <v>180.41</v>
      </c>
      <c r="C82">
        <f t="shared" si="1"/>
        <v>16.136851520572453</v>
      </c>
      <c r="M82">
        <v>622.34</v>
      </c>
      <c r="N82">
        <v>117.69</v>
      </c>
      <c r="O82">
        <v>18.910884725391263</v>
      </c>
      <c r="P82" t="s">
        <v>1034</v>
      </c>
    </row>
    <row r="83" spans="1:16" x14ac:dyDescent="0.3">
      <c r="A83">
        <v>843.99</v>
      </c>
      <c r="B83">
        <v>223.59</v>
      </c>
      <c r="C83">
        <f t="shared" si="1"/>
        <v>26.492020047630898</v>
      </c>
      <c r="M83">
        <v>288.24</v>
      </c>
      <c r="N83">
        <v>38.44</v>
      </c>
      <c r="O83">
        <v>13.3361087982237</v>
      </c>
      <c r="P83" t="s">
        <v>1034</v>
      </c>
    </row>
    <row r="84" spans="1:16" x14ac:dyDescent="0.3">
      <c r="A84">
        <v>433.42</v>
      </c>
      <c r="B84">
        <v>69.13</v>
      </c>
      <c r="C84">
        <f t="shared" si="1"/>
        <v>15.949886945687783</v>
      </c>
      <c r="M84">
        <v>500.48</v>
      </c>
      <c r="N84">
        <v>67.790000000000006</v>
      </c>
      <c r="O84">
        <v>13.544996803069054</v>
      </c>
      <c r="P84" t="s">
        <v>1034</v>
      </c>
    </row>
    <row r="85" spans="1:16" x14ac:dyDescent="0.3">
      <c r="A85">
        <v>1115.8</v>
      </c>
      <c r="B85">
        <v>175.93</v>
      </c>
      <c r="C85">
        <f t="shared" si="1"/>
        <v>15.767162573937982</v>
      </c>
      <c r="M85">
        <v>935.88</v>
      </c>
      <c r="N85">
        <v>186.51</v>
      </c>
      <c r="O85">
        <v>19.928837030388511</v>
      </c>
      <c r="P85" t="s">
        <v>1034</v>
      </c>
    </row>
    <row r="86" spans="1:16" x14ac:dyDescent="0.3">
      <c r="A86">
        <v>750.59</v>
      </c>
      <c r="B86">
        <v>102.79</v>
      </c>
      <c r="C86">
        <f t="shared" si="1"/>
        <v>13.694560279246993</v>
      </c>
      <c r="M86">
        <v>880.25</v>
      </c>
      <c r="N86">
        <v>140.44999999999999</v>
      </c>
      <c r="O86">
        <v>15.95569440499858</v>
      </c>
      <c r="P86" t="s">
        <v>1034</v>
      </c>
    </row>
    <row r="87" spans="1:16" x14ac:dyDescent="0.3">
      <c r="A87">
        <v>1500.8</v>
      </c>
      <c r="B87">
        <v>312.25</v>
      </c>
      <c r="C87">
        <f t="shared" si="1"/>
        <v>20.805570362473347</v>
      </c>
      <c r="M87">
        <v>206.25</v>
      </c>
      <c r="N87">
        <v>24.08</v>
      </c>
      <c r="O87">
        <v>11.675151515151514</v>
      </c>
      <c r="P87" t="s">
        <v>1034</v>
      </c>
    </row>
    <row r="88" spans="1:16" x14ac:dyDescent="0.3">
      <c r="A88">
        <v>1481.85</v>
      </c>
      <c r="B88">
        <v>400.25</v>
      </c>
      <c r="C88">
        <f t="shared" si="1"/>
        <v>27.01015622363937</v>
      </c>
      <c r="M88">
        <v>127.25</v>
      </c>
      <c r="N88">
        <v>20.03</v>
      </c>
      <c r="O88">
        <v>15.740667976424364</v>
      </c>
      <c r="P88" t="s">
        <v>1034</v>
      </c>
    </row>
    <row r="89" spans="1:16" x14ac:dyDescent="0.3">
      <c r="A89">
        <v>1968.3</v>
      </c>
      <c r="B89">
        <v>312.75</v>
      </c>
      <c r="C89">
        <f t="shared" si="1"/>
        <v>15.889346136259716</v>
      </c>
      <c r="M89">
        <v>468.72</v>
      </c>
      <c r="N89">
        <v>82.6</v>
      </c>
      <c r="O89">
        <v>17.622461170848265</v>
      </c>
      <c r="P89" t="s">
        <v>1034</v>
      </c>
    </row>
    <row r="90" spans="1:16" x14ac:dyDescent="0.3">
      <c r="A90">
        <v>221.67</v>
      </c>
      <c r="B90">
        <v>68.64</v>
      </c>
      <c r="C90">
        <f t="shared" si="1"/>
        <v>30.964947895520371</v>
      </c>
      <c r="M90">
        <v>1926.19</v>
      </c>
      <c r="N90">
        <v>288.49</v>
      </c>
      <c r="O90">
        <v>14.977234852221224</v>
      </c>
      <c r="P90" t="s">
        <v>1034</v>
      </c>
    </row>
    <row r="91" spans="1:16" x14ac:dyDescent="0.3">
      <c r="A91">
        <v>130.74</v>
      </c>
      <c r="B91">
        <v>29.99</v>
      </c>
      <c r="C91">
        <f t="shared" si="1"/>
        <v>22.93865687624292</v>
      </c>
      <c r="M91">
        <v>1274.98</v>
      </c>
      <c r="N91">
        <v>233.14</v>
      </c>
      <c r="O91">
        <v>18.285777031796577</v>
      </c>
      <c r="P91" t="s">
        <v>1034</v>
      </c>
    </row>
    <row r="92" spans="1:16" x14ac:dyDescent="0.3">
      <c r="A92">
        <v>1343.89</v>
      </c>
      <c r="B92">
        <v>500.16</v>
      </c>
      <c r="C92">
        <f t="shared" si="1"/>
        <v>37.21733177566616</v>
      </c>
      <c r="M92">
        <v>32.979999999999997</v>
      </c>
      <c r="N92">
        <v>6.09</v>
      </c>
      <c r="O92">
        <v>18.465736810187995</v>
      </c>
      <c r="P92" t="s">
        <v>1034</v>
      </c>
    </row>
    <row r="93" spans="1:16" x14ac:dyDescent="0.3">
      <c r="A93">
        <v>1274.1400000000001</v>
      </c>
      <c r="B93">
        <v>428.41</v>
      </c>
      <c r="C93">
        <f t="shared" si="1"/>
        <v>33.623463669612441</v>
      </c>
      <c r="M93">
        <v>251.94</v>
      </c>
      <c r="N93">
        <v>49.18</v>
      </c>
      <c r="O93">
        <v>19.520520758910852</v>
      </c>
      <c r="P93" t="s">
        <v>1034</v>
      </c>
    </row>
    <row r="94" spans="1:16" x14ac:dyDescent="0.3">
      <c r="A94">
        <v>100.52</v>
      </c>
      <c r="B94">
        <v>22.92</v>
      </c>
      <c r="C94">
        <f t="shared" si="1"/>
        <v>22.801432550736177</v>
      </c>
      <c r="M94">
        <v>59.28</v>
      </c>
      <c r="N94">
        <v>9.69</v>
      </c>
      <c r="O94">
        <v>16.346153846153847</v>
      </c>
      <c r="P94" t="s">
        <v>1034</v>
      </c>
    </row>
    <row r="95" spans="1:16" x14ac:dyDescent="0.3">
      <c r="A95">
        <v>502.84</v>
      </c>
      <c r="B95">
        <v>73.33</v>
      </c>
      <c r="C95">
        <f t="shared" si="1"/>
        <v>14.583167607986635</v>
      </c>
      <c r="M95">
        <v>1339.2</v>
      </c>
      <c r="N95">
        <v>192.89</v>
      </c>
      <c r="O95">
        <v>14.403375149342889</v>
      </c>
      <c r="P95" t="s">
        <v>1034</v>
      </c>
    </row>
    <row r="96" spans="1:16" x14ac:dyDescent="0.3">
      <c r="A96">
        <v>931.06</v>
      </c>
      <c r="B96">
        <v>350</v>
      </c>
      <c r="C96">
        <f t="shared" si="1"/>
        <v>37.591562305329411</v>
      </c>
      <c r="M96">
        <v>1752.34</v>
      </c>
      <c r="N96">
        <v>225.25</v>
      </c>
      <c r="O96">
        <v>12.854240615405688</v>
      </c>
      <c r="P96" t="s">
        <v>1034</v>
      </c>
    </row>
    <row r="97" spans="1:16" x14ac:dyDescent="0.3">
      <c r="A97">
        <v>1677.9</v>
      </c>
      <c r="B97">
        <v>638.95000000000005</v>
      </c>
      <c r="C97">
        <f t="shared" si="1"/>
        <v>38.080338518386078</v>
      </c>
      <c r="M97">
        <v>880.88</v>
      </c>
      <c r="N97">
        <v>138.61000000000001</v>
      </c>
      <c r="O97">
        <v>15.735400962673692</v>
      </c>
      <c r="P97" t="s">
        <v>1034</v>
      </c>
    </row>
    <row r="98" spans="1:16" x14ac:dyDescent="0.3">
      <c r="A98">
        <v>1899.24</v>
      </c>
      <c r="B98">
        <v>456.33</v>
      </c>
      <c r="C98">
        <f t="shared" si="1"/>
        <v>24.026979212737725</v>
      </c>
      <c r="M98">
        <v>1480.74</v>
      </c>
      <c r="N98">
        <v>219.61</v>
      </c>
      <c r="O98">
        <v>14.831097964531248</v>
      </c>
      <c r="P98" t="s">
        <v>1034</v>
      </c>
    </row>
    <row r="99" spans="1:16" x14ac:dyDescent="0.3">
      <c r="A99">
        <v>45.84</v>
      </c>
      <c r="B99">
        <v>16.579999999999998</v>
      </c>
      <c r="C99">
        <f t="shared" si="1"/>
        <v>36.16928446771378</v>
      </c>
      <c r="M99">
        <v>1907.4</v>
      </c>
      <c r="N99">
        <v>268.35000000000002</v>
      </c>
      <c r="O99">
        <v>14.068889587920729</v>
      </c>
      <c r="P99" t="s">
        <v>1034</v>
      </c>
    </row>
    <row r="100" spans="1:16" x14ac:dyDescent="0.3">
      <c r="A100">
        <v>1000.92</v>
      </c>
      <c r="B100">
        <v>269.04000000000002</v>
      </c>
      <c r="C100">
        <f t="shared" si="1"/>
        <v>26.879271070615037</v>
      </c>
      <c r="M100">
        <v>816</v>
      </c>
      <c r="N100">
        <v>101.85</v>
      </c>
      <c r="O100">
        <v>12.481617647058822</v>
      </c>
      <c r="P100" t="s">
        <v>1034</v>
      </c>
    </row>
    <row r="101" spans="1:16" x14ac:dyDescent="0.3">
      <c r="A101">
        <v>1092.9000000000001</v>
      </c>
      <c r="B101">
        <v>280.93</v>
      </c>
      <c r="C101">
        <f t="shared" si="1"/>
        <v>25.705005032482386</v>
      </c>
      <c r="M101">
        <v>186.48</v>
      </c>
      <c r="N101">
        <v>33.19</v>
      </c>
      <c r="O101">
        <v>17.798155298155301</v>
      </c>
      <c r="P101" t="s">
        <v>1034</v>
      </c>
    </row>
    <row r="102" spans="1:16" x14ac:dyDescent="0.3">
      <c r="A102">
        <v>200.43</v>
      </c>
      <c r="B102">
        <v>72.47</v>
      </c>
      <c r="C102">
        <f t="shared" si="1"/>
        <v>36.157261886943068</v>
      </c>
      <c r="M102">
        <v>2109.83</v>
      </c>
      <c r="N102">
        <v>418.92</v>
      </c>
      <c r="O102">
        <v>19.855628178573632</v>
      </c>
      <c r="P102" t="s">
        <v>1034</v>
      </c>
    </row>
    <row r="103" spans="1:16" x14ac:dyDescent="0.3">
      <c r="A103">
        <v>718.9</v>
      </c>
      <c r="B103">
        <v>269.64999999999998</v>
      </c>
      <c r="C103">
        <f t="shared" si="1"/>
        <v>37.508693837807762</v>
      </c>
      <c r="M103">
        <v>18.739999999999998</v>
      </c>
      <c r="N103">
        <v>2.74</v>
      </c>
      <c r="O103">
        <v>14.621131270010675</v>
      </c>
      <c r="P103" t="s">
        <v>1034</v>
      </c>
    </row>
    <row r="104" spans="1:16" x14ac:dyDescent="0.3">
      <c r="A104">
        <v>516.35</v>
      </c>
      <c r="B104">
        <v>144.16999999999999</v>
      </c>
      <c r="C104">
        <f t="shared" si="1"/>
        <v>27.920983828798292</v>
      </c>
      <c r="M104">
        <v>1689.52</v>
      </c>
      <c r="N104">
        <v>264.45999999999998</v>
      </c>
      <c r="O104">
        <v>15.652966523036127</v>
      </c>
      <c r="P104" t="s">
        <v>1034</v>
      </c>
    </row>
    <row r="105" spans="1:16" x14ac:dyDescent="0.3">
      <c r="A105">
        <v>657.9</v>
      </c>
      <c r="B105">
        <v>168.24</v>
      </c>
      <c r="C105">
        <f t="shared" si="1"/>
        <v>25.572275421796625</v>
      </c>
      <c r="M105">
        <v>788.33</v>
      </c>
      <c r="N105">
        <v>110.52</v>
      </c>
      <c r="O105">
        <v>14.019509596235077</v>
      </c>
      <c r="P105" t="s">
        <v>1034</v>
      </c>
    </row>
    <row r="106" spans="1:16" x14ac:dyDescent="0.3">
      <c r="A106">
        <v>942.56</v>
      </c>
      <c r="B106">
        <v>343.16</v>
      </c>
      <c r="C106">
        <f t="shared" si="1"/>
        <v>36.407231369886276</v>
      </c>
      <c r="M106">
        <v>1423.38</v>
      </c>
      <c r="N106">
        <v>161.97999999999999</v>
      </c>
      <c r="O106">
        <v>11.379954755581782</v>
      </c>
      <c r="P106" t="s">
        <v>1034</v>
      </c>
    </row>
    <row r="107" spans="1:16" x14ac:dyDescent="0.3">
      <c r="A107">
        <v>168.63</v>
      </c>
      <c r="B107">
        <v>41.07</v>
      </c>
      <c r="C107">
        <f t="shared" si="1"/>
        <v>24.355096957836686</v>
      </c>
      <c r="M107">
        <v>282.75</v>
      </c>
      <c r="N107">
        <v>36.25</v>
      </c>
      <c r="O107">
        <v>12.820512820512819</v>
      </c>
      <c r="P107" t="s">
        <v>1034</v>
      </c>
    </row>
    <row r="108" spans="1:16" x14ac:dyDescent="0.3">
      <c r="A108">
        <v>509.52</v>
      </c>
      <c r="B108">
        <v>69.069999999999993</v>
      </c>
      <c r="C108">
        <f t="shared" si="1"/>
        <v>13.555895745014915</v>
      </c>
      <c r="M108">
        <v>404</v>
      </c>
      <c r="N108">
        <v>65.25</v>
      </c>
      <c r="O108">
        <v>16.150990099009903</v>
      </c>
      <c r="P108" t="s">
        <v>1034</v>
      </c>
    </row>
    <row r="109" spans="1:16" x14ac:dyDescent="0.3">
      <c r="A109">
        <v>1151</v>
      </c>
      <c r="B109">
        <v>306.7</v>
      </c>
      <c r="C109">
        <f t="shared" si="1"/>
        <v>26.646394439617723</v>
      </c>
      <c r="M109">
        <v>25.72</v>
      </c>
      <c r="N109">
        <v>3.68</v>
      </c>
      <c r="O109">
        <v>14.307931570762053</v>
      </c>
      <c r="P109" t="s">
        <v>1034</v>
      </c>
    </row>
    <row r="110" spans="1:16" x14ac:dyDescent="0.3">
      <c r="A110">
        <v>136.08000000000001</v>
      </c>
      <c r="B110">
        <v>25.24</v>
      </c>
      <c r="C110">
        <f t="shared" si="1"/>
        <v>18.547912992357436</v>
      </c>
      <c r="M110">
        <v>1017.36</v>
      </c>
      <c r="N110">
        <v>180.62</v>
      </c>
      <c r="O110">
        <v>17.7537941338366</v>
      </c>
      <c r="P110" t="s">
        <v>1034</v>
      </c>
    </row>
    <row r="111" spans="1:16" x14ac:dyDescent="0.3">
      <c r="A111">
        <v>423.52</v>
      </c>
      <c r="B111">
        <v>119.65</v>
      </c>
      <c r="C111">
        <f t="shared" si="1"/>
        <v>28.251322251605593</v>
      </c>
      <c r="M111">
        <v>248.56</v>
      </c>
      <c r="N111">
        <v>37.590000000000003</v>
      </c>
      <c r="O111">
        <v>15.123109108464758</v>
      </c>
      <c r="P111" t="s">
        <v>1034</v>
      </c>
    </row>
    <row r="112" spans="1:16" x14ac:dyDescent="0.3">
      <c r="A112">
        <v>1381.76</v>
      </c>
      <c r="B112">
        <v>269.22000000000003</v>
      </c>
      <c r="C112">
        <f t="shared" si="1"/>
        <v>19.483846688281613</v>
      </c>
      <c r="M112">
        <v>148.19999999999999</v>
      </c>
      <c r="N112">
        <v>24.44</v>
      </c>
      <c r="O112">
        <v>16.491228070175438</v>
      </c>
      <c r="P112" t="s">
        <v>1034</v>
      </c>
    </row>
    <row r="113" spans="1:16" x14ac:dyDescent="0.3">
      <c r="A113">
        <v>546.65</v>
      </c>
      <c r="B113">
        <v>83.93</v>
      </c>
      <c r="C113">
        <f t="shared" si="1"/>
        <v>15.353516875514501</v>
      </c>
      <c r="M113">
        <v>672.1</v>
      </c>
      <c r="N113">
        <v>130.30000000000001</v>
      </c>
      <c r="O113">
        <v>19.386995982740665</v>
      </c>
      <c r="P113" t="s">
        <v>1034</v>
      </c>
    </row>
    <row r="114" spans="1:16" x14ac:dyDescent="0.3">
      <c r="A114">
        <v>1030.4000000000001</v>
      </c>
      <c r="B114">
        <v>328.68</v>
      </c>
      <c r="C114">
        <f t="shared" si="1"/>
        <v>31.898291925465838</v>
      </c>
      <c r="M114">
        <v>1809.2</v>
      </c>
      <c r="N114">
        <v>272.95</v>
      </c>
      <c r="O114">
        <v>15.086778686712357</v>
      </c>
      <c r="P114" t="s">
        <v>1034</v>
      </c>
    </row>
    <row r="115" spans="1:16" x14ac:dyDescent="0.3">
      <c r="A115">
        <v>292.95</v>
      </c>
      <c r="B115">
        <v>53.3</v>
      </c>
      <c r="C115">
        <f t="shared" si="1"/>
        <v>18.194231097456903</v>
      </c>
      <c r="M115">
        <v>933.98</v>
      </c>
      <c r="N115">
        <v>157.61000000000001</v>
      </c>
      <c r="O115">
        <v>16.875093685089617</v>
      </c>
      <c r="P115" t="s">
        <v>1034</v>
      </c>
    </row>
    <row r="116" spans="1:16" x14ac:dyDescent="0.3">
      <c r="A116">
        <v>937.8</v>
      </c>
      <c r="B116">
        <v>185</v>
      </c>
      <c r="C116">
        <f t="shared" si="1"/>
        <v>19.727020686713587</v>
      </c>
      <c r="M116">
        <v>1271.1600000000001</v>
      </c>
      <c r="N116">
        <v>133.69999999999999</v>
      </c>
      <c r="O116">
        <v>10.517952106737152</v>
      </c>
      <c r="P116" t="s">
        <v>1034</v>
      </c>
    </row>
    <row r="117" spans="1:16" x14ac:dyDescent="0.3">
      <c r="A117">
        <v>1235.52</v>
      </c>
      <c r="B117">
        <v>372.11</v>
      </c>
      <c r="C117">
        <f t="shared" si="1"/>
        <v>30.117683242683245</v>
      </c>
      <c r="M117">
        <v>336</v>
      </c>
      <c r="N117">
        <v>61.12</v>
      </c>
      <c r="O117">
        <v>18.19047619047619</v>
      </c>
      <c r="P117" t="s">
        <v>1034</v>
      </c>
    </row>
    <row r="118" spans="1:16" x14ac:dyDescent="0.3">
      <c r="A118">
        <v>1002.44</v>
      </c>
      <c r="B118">
        <v>285.39</v>
      </c>
      <c r="C118">
        <f t="shared" si="1"/>
        <v>28.46953433621962</v>
      </c>
      <c r="M118">
        <v>2010.58</v>
      </c>
      <c r="N118">
        <v>396.36</v>
      </c>
      <c r="O118">
        <v>19.713714450556559</v>
      </c>
      <c r="P118" t="s">
        <v>1034</v>
      </c>
    </row>
    <row r="119" spans="1:16" x14ac:dyDescent="0.3">
      <c r="A119">
        <v>123.62</v>
      </c>
      <c r="B119">
        <v>27.42</v>
      </c>
      <c r="C119">
        <f t="shared" si="1"/>
        <v>22.180876880763631</v>
      </c>
      <c r="M119">
        <v>1072.75</v>
      </c>
      <c r="N119">
        <v>117.73</v>
      </c>
      <c r="O119">
        <v>10.974597995805174</v>
      </c>
      <c r="P119" t="s">
        <v>1034</v>
      </c>
    </row>
    <row r="120" spans="1:16" x14ac:dyDescent="0.3">
      <c r="A120">
        <v>1339</v>
      </c>
      <c r="B120">
        <v>336.91</v>
      </c>
      <c r="C120">
        <f t="shared" si="1"/>
        <v>25.161314413741596</v>
      </c>
      <c r="M120">
        <v>1599.04</v>
      </c>
      <c r="N120">
        <v>275.94</v>
      </c>
      <c r="O120">
        <v>17.256603962377426</v>
      </c>
      <c r="P120" t="s">
        <v>1034</v>
      </c>
    </row>
    <row r="121" spans="1:16" x14ac:dyDescent="0.3">
      <c r="A121">
        <v>675</v>
      </c>
      <c r="B121">
        <v>241.01</v>
      </c>
      <c r="C121">
        <f t="shared" si="1"/>
        <v>35.705185185185186</v>
      </c>
      <c r="M121">
        <v>263.04000000000002</v>
      </c>
      <c r="N121">
        <v>41.4</v>
      </c>
      <c r="O121">
        <v>15.73905109489051</v>
      </c>
      <c r="P121" t="s">
        <v>1034</v>
      </c>
    </row>
    <row r="122" spans="1:16" x14ac:dyDescent="0.3">
      <c r="A122">
        <v>76</v>
      </c>
      <c r="B122">
        <v>21.22</v>
      </c>
      <c r="C122">
        <f t="shared" si="1"/>
        <v>27.921052631578945</v>
      </c>
      <c r="M122">
        <v>498.3</v>
      </c>
      <c r="N122">
        <v>86.45</v>
      </c>
      <c r="O122">
        <v>17.348986554284568</v>
      </c>
      <c r="P122" t="s">
        <v>1034</v>
      </c>
    </row>
    <row r="123" spans="1:16" x14ac:dyDescent="0.3">
      <c r="A123">
        <v>639.12</v>
      </c>
      <c r="B123">
        <v>235.2</v>
      </c>
      <c r="C123">
        <f t="shared" si="1"/>
        <v>36.800600826135934</v>
      </c>
      <c r="M123">
        <v>706.42</v>
      </c>
      <c r="N123">
        <v>87.48</v>
      </c>
      <c r="O123">
        <v>12.383567849154895</v>
      </c>
      <c r="P123" t="s">
        <v>1034</v>
      </c>
    </row>
    <row r="124" spans="1:16" x14ac:dyDescent="0.3">
      <c r="A124">
        <v>1121.6400000000001</v>
      </c>
      <c r="B124">
        <v>423.56</v>
      </c>
      <c r="C124">
        <f t="shared" si="1"/>
        <v>37.762561962840124</v>
      </c>
      <c r="M124">
        <v>479.66</v>
      </c>
      <c r="N124">
        <v>79.680000000000007</v>
      </c>
      <c r="O124">
        <v>16.611766668056539</v>
      </c>
      <c r="P124" t="s">
        <v>1034</v>
      </c>
    </row>
    <row r="125" spans="1:16" x14ac:dyDescent="0.3">
      <c r="A125">
        <v>1170.3900000000001</v>
      </c>
      <c r="B125">
        <v>134.96</v>
      </c>
      <c r="C125">
        <f t="shared" si="1"/>
        <v>11.531199002042055</v>
      </c>
      <c r="M125">
        <v>675.3</v>
      </c>
      <c r="N125">
        <v>109.04</v>
      </c>
      <c r="O125">
        <v>16.146897675107361</v>
      </c>
      <c r="P125" t="s">
        <v>1034</v>
      </c>
    </row>
    <row r="126" spans="1:16" x14ac:dyDescent="0.3">
      <c r="A126">
        <v>156.55000000000001</v>
      </c>
      <c r="B126">
        <v>40.01</v>
      </c>
      <c r="C126">
        <f t="shared" si="1"/>
        <v>25.557329926541041</v>
      </c>
      <c r="M126">
        <v>2685.5</v>
      </c>
      <c r="N126">
        <v>487.61</v>
      </c>
      <c r="O126">
        <v>18.157140197356174</v>
      </c>
      <c r="P126" t="s">
        <v>1034</v>
      </c>
    </row>
    <row r="127" spans="1:16" x14ac:dyDescent="0.3">
      <c r="A127">
        <v>1551.9</v>
      </c>
      <c r="B127">
        <v>301.64</v>
      </c>
      <c r="C127">
        <f t="shared" si="1"/>
        <v>19.436819382692182</v>
      </c>
      <c r="M127">
        <v>446.88</v>
      </c>
      <c r="N127">
        <v>47.97</v>
      </c>
      <c r="O127">
        <v>10.734425349087003</v>
      </c>
      <c r="P127" t="s">
        <v>1034</v>
      </c>
    </row>
    <row r="128" spans="1:16" x14ac:dyDescent="0.3">
      <c r="A128">
        <v>2065.3200000000002</v>
      </c>
      <c r="B128">
        <v>530.98</v>
      </c>
      <c r="C128">
        <f t="shared" si="1"/>
        <v>25.709333178393663</v>
      </c>
      <c r="M128">
        <v>491.5</v>
      </c>
      <c r="N128">
        <v>78.2</v>
      </c>
      <c r="O128">
        <v>15.910478128179045</v>
      </c>
      <c r="P128" t="s">
        <v>1034</v>
      </c>
    </row>
    <row r="129" spans="1:16" x14ac:dyDescent="0.3">
      <c r="A129">
        <v>522.34</v>
      </c>
      <c r="B129">
        <v>120.97</v>
      </c>
      <c r="C129">
        <f t="shared" si="1"/>
        <v>23.15924493624842</v>
      </c>
      <c r="M129">
        <v>2140.3200000000002</v>
      </c>
      <c r="N129">
        <v>332.47</v>
      </c>
      <c r="O129">
        <v>15.533658518352397</v>
      </c>
      <c r="P129" t="s">
        <v>1034</v>
      </c>
    </row>
    <row r="130" spans="1:16" x14ac:dyDescent="0.3">
      <c r="A130">
        <v>1454.1</v>
      </c>
      <c r="B130">
        <v>203.02</v>
      </c>
      <c r="C130">
        <f t="shared" si="1"/>
        <v>13.961900832129842</v>
      </c>
      <c r="M130">
        <v>324.95999999999998</v>
      </c>
      <c r="N130">
        <v>39.369999999999997</v>
      </c>
      <c r="O130">
        <v>12.115337272279666</v>
      </c>
      <c r="P130" t="s">
        <v>1034</v>
      </c>
    </row>
    <row r="131" spans="1:16" x14ac:dyDescent="0.3">
      <c r="A131">
        <v>735.76</v>
      </c>
      <c r="B131">
        <v>140.80000000000001</v>
      </c>
      <c r="C131">
        <f t="shared" ref="C131:C194" si="2">B131/A131*100</f>
        <v>19.136675002718277</v>
      </c>
      <c r="M131">
        <v>61.76</v>
      </c>
      <c r="N131">
        <v>7.34</v>
      </c>
      <c r="O131">
        <v>11.884715025906736</v>
      </c>
      <c r="P131" t="s">
        <v>1034</v>
      </c>
    </row>
    <row r="132" spans="1:16" x14ac:dyDescent="0.3">
      <c r="A132">
        <v>1381.38</v>
      </c>
      <c r="B132">
        <v>535.54</v>
      </c>
      <c r="C132">
        <f t="shared" si="2"/>
        <v>38.768477898912671</v>
      </c>
    </row>
    <row r="133" spans="1:16" x14ac:dyDescent="0.3">
      <c r="A133">
        <v>1305.48</v>
      </c>
      <c r="B133">
        <v>322.55</v>
      </c>
      <c r="C133">
        <f t="shared" si="2"/>
        <v>24.707387321138587</v>
      </c>
    </row>
    <row r="134" spans="1:16" x14ac:dyDescent="0.3">
      <c r="A134">
        <v>1322.86</v>
      </c>
      <c r="B134">
        <v>388.8</v>
      </c>
      <c r="C134">
        <f t="shared" si="2"/>
        <v>29.39086524651135</v>
      </c>
    </row>
    <row r="135" spans="1:16" x14ac:dyDescent="0.3">
      <c r="A135">
        <v>860.58</v>
      </c>
      <c r="B135">
        <v>298.57</v>
      </c>
      <c r="C135">
        <f t="shared" si="2"/>
        <v>34.694043552023054</v>
      </c>
    </row>
    <row r="136" spans="1:16" x14ac:dyDescent="0.3">
      <c r="A136">
        <v>1965.6</v>
      </c>
      <c r="B136">
        <v>375.26</v>
      </c>
      <c r="C136">
        <f t="shared" si="2"/>
        <v>19.09137159137159</v>
      </c>
    </row>
    <row r="137" spans="1:16" x14ac:dyDescent="0.3">
      <c r="A137">
        <v>27.49</v>
      </c>
      <c r="B137">
        <v>11.36</v>
      </c>
      <c r="C137">
        <f t="shared" si="2"/>
        <v>41.324117861040378</v>
      </c>
    </row>
    <row r="138" spans="1:16" x14ac:dyDescent="0.3">
      <c r="A138">
        <v>2055.5</v>
      </c>
      <c r="B138">
        <v>359.89</v>
      </c>
      <c r="C138">
        <f t="shared" si="2"/>
        <v>17.508635368523471</v>
      </c>
    </row>
    <row r="139" spans="1:16" x14ac:dyDescent="0.3">
      <c r="A139">
        <v>459.72</v>
      </c>
      <c r="B139">
        <v>153.69999999999999</v>
      </c>
      <c r="C139">
        <f t="shared" si="2"/>
        <v>33.433394239972152</v>
      </c>
    </row>
    <row r="140" spans="1:16" x14ac:dyDescent="0.3">
      <c r="A140">
        <v>190.08</v>
      </c>
      <c r="B140">
        <v>67.849999999999994</v>
      </c>
      <c r="C140">
        <f t="shared" si="2"/>
        <v>35.695496632996623</v>
      </c>
    </row>
    <row r="141" spans="1:16" x14ac:dyDescent="0.3">
      <c r="A141">
        <v>883.92</v>
      </c>
      <c r="B141">
        <v>125.77</v>
      </c>
      <c r="C141">
        <f t="shared" si="2"/>
        <v>14.228663227441398</v>
      </c>
    </row>
    <row r="142" spans="1:16" x14ac:dyDescent="0.3">
      <c r="A142">
        <v>1360.53</v>
      </c>
      <c r="B142">
        <v>174.13</v>
      </c>
      <c r="C142">
        <f t="shared" si="2"/>
        <v>12.798688746297399</v>
      </c>
    </row>
    <row r="143" spans="1:16" x14ac:dyDescent="0.3">
      <c r="A143">
        <v>1281.1199999999999</v>
      </c>
      <c r="B143">
        <v>376.26</v>
      </c>
      <c r="C143">
        <f t="shared" si="2"/>
        <v>29.369614087673291</v>
      </c>
    </row>
    <row r="144" spans="1:16" x14ac:dyDescent="0.3">
      <c r="A144">
        <v>117.96</v>
      </c>
      <c r="B144">
        <v>35.99</v>
      </c>
      <c r="C144">
        <f t="shared" si="2"/>
        <v>30.510342488979319</v>
      </c>
    </row>
    <row r="145" spans="1:3" x14ac:dyDescent="0.3">
      <c r="A145">
        <v>432</v>
      </c>
      <c r="B145">
        <v>103.32</v>
      </c>
      <c r="C145">
        <f t="shared" si="2"/>
        <v>23.916666666666664</v>
      </c>
    </row>
    <row r="146" spans="1:3" x14ac:dyDescent="0.3">
      <c r="A146">
        <v>182.15</v>
      </c>
      <c r="B146">
        <v>61.83</v>
      </c>
      <c r="C146">
        <f t="shared" si="2"/>
        <v>33.944551194070819</v>
      </c>
    </row>
    <row r="147" spans="1:3" x14ac:dyDescent="0.3">
      <c r="A147">
        <v>1036.53</v>
      </c>
      <c r="B147">
        <v>400.43</v>
      </c>
      <c r="C147">
        <f t="shared" si="2"/>
        <v>38.631781038657834</v>
      </c>
    </row>
    <row r="148" spans="1:3" x14ac:dyDescent="0.3">
      <c r="A148">
        <v>475</v>
      </c>
      <c r="B148">
        <v>179.05</v>
      </c>
      <c r="C148">
        <f t="shared" si="2"/>
        <v>37.694736842105264</v>
      </c>
    </row>
    <row r="149" spans="1:3" x14ac:dyDescent="0.3">
      <c r="A149">
        <v>2356.11</v>
      </c>
      <c r="B149">
        <v>685.89</v>
      </c>
      <c r="C149">
        <f t="shared" si="2"/>
        <v>29.111119599679132</v>
      </c>
    </row>
    <row r="150" spans="1:3" x14ac:dyDescent="0.3">
      <c r="A150">
        <v>1985.75</v>
      </c>
      <c r="B150">
        <v>553</v>
      </c>
      <c r="C150">
        <f t="shared" si="2"/>
        <v>27.848419992446178</v>
      </c>
    </row>
    <row r="151" spans="1:3" x14ac:dyDescent="0.3">
      <c r="A151">
        <v>688.68</v>
      </c>
      <c r="B151">
        <v>219.9</v>
      </c>
      <c r="C151">
        <f t="shared" si="2"/>
        <v>31.930649939013765</v>
      </c>
    </row>
    <row r="152" spans="1:3" x14ac:dyDescent="0.3">
      <c r="A152">
        <v>1446.46</v>
      </c>
      <c r="B152">
        <v>469.22</v>
      </c>
      <c r="C152">
        <f t="shared" si="2"/>
        <v>32.439196382893407</v>
      </c>
    </row>
    <row r="153" spans="1:3" x14ac:dyDescent="0.3">
      <c r="A153">
        <v>2158.65</v>
      </c>
      <c r="B153">
        <v>736.55</v>
      </c>
      <c r="C153">
        <f t="shared" si="2"/>
        <v>34.120862576147125</v>
      </c>
    </row>
    <row r="154" spans="1:3" x14ac:dyDescent="0.3">
      <c r="A154">
        <v>634.48</v>
      </c>
      <c r="B154">
        <v>114.93</v>
      </c>
      <c r="C154">
        <f t="shared" si="2"/>
        <v>18.114046148026731</v>
      </c>
    </row>
    <row r="155" spans="1:3" x14ac:dyDescent="0.3">
      <c r="A155">
        <v>1203.3599999999999</v>
      </c>
      <c r="B155">
        <v>429.43</v>
      </c>
      <c r="C155">
        <f t="shared" si="2"/>
        <v>35.685912777556176</v>
      </c>
    </row>
    <row r="156" spans="1:3" x14ac:dyDescent="0.3">
      <c r="A156">
        <v>946.43</v>
      </c>
      <c r="B156">
        <v>316.27999999999997</v>
      </c>
      <c r="C156">
        <f t="shared" si="2"/>
        <v>33.418213708356667</v>
      </c>
    </row>
    <row r="157" spans="1:3" x14ac:dyDescent="0.3">
      <c r="A157">
        <v>1023</v>
      </c>
      <c r="B157">
        <v>216.56</v>
      </c>
      <c r="C157">
        <f t="shared" si="2"/>
        <v>21.169110459433043</v>
      </c>
    </row>
    <row r="158" spans="1:3" x14ac:dyDescent="0.3">
      <c r="A158">
        <v>667.52</v>
      </c>
      <c r="B158">
        <v>149.9</v>
      </c>
      <c r="C158">
        <f t="shared" si="2"/>
        <v>22.456255992329819</v>
      </c>
    </row>
    <row r="159" spans="1:3" x14ac:dyDescent="0.3">
      <c r="A159">
        <v>442.98</v>
      </c>
      <c r="B159">
        <v>55.99</v>
      </c>
      <c r="C159">
        <f t="shared" si="2"/>
        <v>12.639396812497179</v>
      </c>
    </row>
    <row r="160" spans="1:3" x14ac:dyDescent="0.3">
      <c r="A160">
        <v>1166.94</v>
      </c>
      <c r="B160">
        <v>412.66</v>
      </c>
      <c r="C160">
        <f t="shared" si="2"/>
        <v>35.362572197370902</v>
      </c>
    </row>
    <row r="161" spans="1:3" x14ac:dyDescent="0.3">
      <c r="A161">
        <v>1446.48</v>
      </c>
      <c r="B161">
        <v>361.78</v>
      </c>
      <c r="C161">
        <f t="shared" si="2"/>
        <v>25.011061335103147</v>
      </c>
    </row>
    <row r="162" spans="1:3" x14ac:dyDescent="0.3">
      <c r="A162">
        <v>267.3</v>
      </c>
      <c r="B162">
        <v>57.09</v>
      </c>
      <c r="C162">
        <f t="shared" si="2"/>
        <v>21.358024691358025</v>
      </c>
    </row>
    <row r="163" spans="1:3" x14ac:dyDescent="0.3">
      <c r="A163">
        <v>544.5</v>
      </c>
      <c r="B163">
        <v>207.91</v>
      </c>
      <c r="C163">
        <f t="shared" si="2"/>
        <v>38.183654729109271</v>
      </c>
    </row>
    <row r="164" spans="1:3" x14ac:dyDescent="0.3">
      <c r="A164">
        <v>1382.76</v>
      </c>
      <c r="B164">
        <v>477.59</v>
      </c>
      <c r="C164">
        <f t="shared" si="2"/>
        <v>34.538893228036677</v>
      </c>
    </row>
    <row r="165" spans="1:3" x14ac:dyDescent="0.3">
      <c r="A165">
        <v>538</v>
      </c>
      <c r="B165">
        <v>123.77</v>
      </c>
      <c r="C165">
        <f t="shared" si="2"/>
        <v>23.005576208178439</v>
      </c>
    </row>
    <row r="166" spans="1:3" x14ac:dyDescent="0.3">
      <c r="A166">
        <v>131.25</v>
      </c>
      <c r="B166">
        <v>37.9</v>
      </c>
      <c r="C166">
        <f t="shared" si="2"/>
        <v>28.876190476190477</v>
      </c>
    </row>
    <row r="167" spans="1:3" x14ac:dyDescent="0.3">
      <c r="A167">
        <v>314.8</v>
      </c>
      <c r="B167">
        <v>54.57</v>
      </c>
      <c r="C167">
        <f t="shared" si="2"/>
        <v>17.334815756035578</v>
      </c>
    </row>
    <row r="168" spans="1:3" x14ac:dyDescent="0.3">
      <c r="A168">
        <v>649.11</v>
      </c>
      <c r="B168">
        <v>190.69</v>
      </c>
      <c r="C168">
        <f t="shared" si="2"/>
        <v>29.377147170741473</v>
      </c>
    </row>
    <row r="169" spans="1:3" x14ac:dyDescent="0.3">
      <c r="A169">
        <v>535.63</v>
      </c>
      <c r="B169">
        <v>152.66999999999999</v>
      </c>
      <c r="C169">
        <f t="shared" si="2"/>
        <v>28.50288445382073</v>
      </c>
    </row>
    <row r="170" spans="1:3" x14ac:dyDescent="0.3">
      <c r="A170">
        <v>1612.44</v>
      </c>
      <c r="B170">
        <v>283.83999999999997</v>
      </c>
      <c r="C170">
        <f t="shared" si="2"/>
        <v>17.603135620550219</v>
      </c>
    </row>
    <row r="171" spans="1:3" x14ac:dyDescent="0.3">
      <c r="A171">
        <v>56.58</v>
      </c>
      <c r="B171">
        <v>7.47</v>
      </c>
      <c r="C171">
        <f t="shared" si="2"/>
        <v>13.20254506892895</v>
      </c>
    </row>
    <row r="172" spans="1:3" x14ac:dyDescent="0.3">
      <c r="A172">
        <v>458.6</v>
      </c>
      <c r="B172">
        <v>164.2</v>
      </c>
      <c r="C172">
        <f t="shared" si="2"/>
        <v>35.804622764936759</v>
      </c>
    </row>
    <row r="173" spans="1:3" x14ac:dyDescent="0.3">
      <c r="A173">
        <v>24.64</v>
      </c>
      <c r="B173">
        <v>5.99</v>
      </c>
      <c r="C173">
        <f t="shared" si="2"/>
        <v>24.310064935064936</v>
      </c>
    </row>
    <row r="174" spans="1:3" x14ac:dyDescent="0.3">
      <c r="A174">
        <v>1117.2</v>
      </c>
      <c r="B174">
        <v>306.64</v>
      </c>
      <c r="C174">
        <f t="shared" si="2"/>
        <v>27.447189402076617</v>
      </c>
    </row>
    <row r="175" spans="1:3" x14ac:dyDescent="0.3">
      <c r="A175">
        <v>1424</v>
      </c>
      <c r="B175">
        <v>260.08</v>
      </c>
      <c r="C175">
        <f t="shared" si="2"/>
        <v>18.264044943820224</v>
      </c>
    </row>
    <row r="176" spans="1:3" x14ac:dyDescent="0.3">
      <c r="A176">
        <v>2396.8200000000002</v>
      </c>
      <c r="B176">
        <v>827.97</v>
      </c>
      <c r="C176">
        <f t="shared" si="2"/>
        <v>34.544521490975541</v>
      </c>
    </row>
    <row r="177" spans="1:3" x14ac:dyDescent="0.3">
      <c r="A177">
        <v>489.82</v>
      </c>
      <c r="B177">
        <v>166.92</v>
      </c>
      <c r="C177">
        <f t="shared" si="2"/>
        <v>34.07782450696174</v>
      </c>
    </row>
    <row r="178" spans="1:3" x14ac:dyDescent="0.3">
      <c r="A178">
        <v>1308.49</v>
      </c>
      <c r="B178">
        <v>499.15</v>
      </c>
      <c r="C178">
        <f t="shared" si="2"/>
        <v>38.147024432743081</v>
      </c>
    </row>
    <row r="179" spans="1:3" x14ac:dyDescent="0.3">
      <c r="A179">
        <v>318.07</v>
      </c>
      <c r="B179">
        <v>32.54</v>
      </c>
      <c r="C179">
        <f t="shared" si="2"/>
        <v>10.230452416134813</v>
      </c>
    </row>
    <row r="180" spans="1:3" x14ac:dyDescent="0.3">
      <c r="A180">
        <v>1050.28</v>
      </c>
      <c r="B180">
        <v>334.77</v>
      </c>
      <c r="C180">
        <f t="shared" si="2"/>
        <v>31.874357314240008</v>
      </c>
    </row>
    <row r="181" spans="1:3" x14ac:dyDescent="0.3">
      <c r="A181">
        <v>514.91999999999996</v>
      </c>
      <c r="B181">
        <v>115.74</v>
      </c>
      <c r="C181">
        <f t="shared" si="2"/>
        <v>22.477278023770683</v>
      </c>
    </row>
    <row r="182" spans="1:3" x14ac:dyDescent="0.3">
      <c r="A182">
        <v>1060.29</v>
      </c>
      <c r="B182">
        <v>187.95</v>
      </c>
      <c r="C182">
        <f t="shared" si="2"/>
        <v>17.726282432164783</v>
      </c>
    </row>
    <row r="183" spans="1:3" x14ac:dyDescent="0.3">
      <c r="A183">
        <v>1770.38</v>
      </c>
      <c r="B183">
        <v>206.98</v>
      </c>
      <c r="C183">
        <f t="shared" si="2"/>
        <v>11.691275319422948</v>
      </c>
    </row>
    <row r="184" spans="1:3" x14ac:dyDescent="0.3">
      <c r="A184">
        <v>732.6</v>
      </c>
      <c r="B184">
        <v>206.17</v>
      </c>
      <c r="C184">
        <f t="shared" si="2"/>
        <v>28.142233142233142</v>
      </c>
    </row>
    <row r="185" spans="1:3" x14ac:dyDescent="0.3">
      <c r="A185">
        <v>72.239999999999995</v>
      </c>
      <c r="B185">
        <v>16.579999999999998</v>
      </c>
      <c r="C185">
        <f t="shared" si="2"/>
        <v>22.951273532668882</v>
      </c>
    </row>
    <row r="186" spans="1:3" x14ac:dyDescent="0.3">
      <c r="A186">
        <v>2223.6</v>
      </c>
      <c r="B186">
        <v>749.03</v>
      </c>
      <c r="C186">
        <f t="shared" si="2"/>
        <v>33.685465011692749</v>
      </c>
    </row>
    <row r="187" spans="1:3" x14ac:dyDescent="0.3">
      <c r="A187">
        <v>157.9</v>
      </c>
      <c r="B187">
        <v>29.17</v>
      </c>
      <c r="C187">
        <f t="shared" si="2"/>
        <v>18.473717542748574</v>
      </c>
    </row>
    <row r="188" spans="1:3" x14ac:dyDescent="0.3">
      <c r="A188">
        <v>1333.5</v>
      </c>
      <c r="B188">
        <v>353.35</v>
      </c>
      <c r="C188">
        <f t="shared" si="2"/>
        <v>26.497937757780278</v>
      </c>
    </row>
    <row r="189" spans="1:3" x14ac:dyDescent="0.3">
      <c r="A189">
        <v>351.56</v>
      </c>
      <c r="B189">
        <v>69.59</v>
      </c>
      <c r="C189">
        <f t="shared" si="2"/>
        <v>19.79462965069974</v>
      </c>
    </row>
    <row r="190" spans="1:3" x14ac:dyDescent="0.3">
      <c r="A190">
        <v>1600.51</v>
      </c>
      <c r="B190">
        <v>482.45</v>
      </c>
      <c r="C190">
        <f t="shared" si="2"/>
        <v>30.14351675403465</v>
      </c>
    </row>
    <row r="191" spans="1:3" x14ac:dyDescent="0.3">
      <c r="A191">
        <v>2095.08</v>
      </c>
      <c r="B191">
        <v>824.95</v>
      </c>
      <c r="C191">
        <f t="shared" si="2"/>
        <v>39.375584703209427</v>
      </c>
    </row>
    <row r="192" spans="1:3" x14ac:dyDescent="0.3">
      <c r="A192">
        <v>400.3</v>
      </c>
      <c r="B192">
        <v>149.5</v>
      </c>
      <c r="C192">
        <f t="shared" si="2"/>
        <v>37.34698975768174</v>
      </c>
    </row>
    <row r="193" spans="1:3" x14ac:dyDescent="0.3">
      <c r="A193">
        <v>719.9</v>
      </c>
      <c r="B193">
        <v>212.02</v>
      </c>
      <c r="C193">
        <f t="shared" si="2"/>
        <v>29.451312682316992</v>
      </c>
    </row>
    <row r="194" spans="1:3" x14ac:dyDescent="0.3">
      <c r="A194">
        <v>1864.43</v>
      </c>
      <c r="B194">
        <v>509.37</v>
      </c>
      <c r="C194">
        <f t="shared" si="2"/>
        <v>27.320414282113031</v>
      </c>
    </row>
    <row r="195" spans="1:3" x14ac:dyDescent="0.3">
      <c r="A195">
        <v>644.86</v>
      </c>
      <c r="B195">
        <v>120.36</v>
      </c>
      <c r="C195">
        <f t="shared" ref="C195:C258" si="3">B195/A195*100</f>
        <v>18.664516329125703</v>
      </c>
    </row>
    <row r="196" spans="1:3" x14ac:dyDescent="0.3">
      <c r="A196">
        <v>71.84</v>
      </c>
      <c r="B196">
        <v>29.5</v>
      </c>
      <c r="C196">
        <f t="shared" si="3"/>
        <v>41.06347438752784</v>
      </c>
    </row>
    <row r="197" spans="1:3" x14ac:dyDescent="0.3">
      <c r="A197">
        <v>1529.76</v>
      </c>
      <c r="B197">
        <v>479.91</v>
      </c>
      <c r="C197">
        <f t="shared" si="3"/>
        <v>31.371587700031377</v>
      </c>
    </row>
    <row r="198" spans="1:3" x14ac:dyDescent="0.3">
      <c r="A198">
        <v>3220</v>
      </c>
      <c r="B198">
        <v>1219.8900000000001</v>
      </c>
      <c r="C198">
        <f t="shared" si="3"/>
        <v>37.884782608695659</v>
      </c>
    </row>
    <row r="199" spans="1:3" x14ac:dyDescent="0.3">
      <c r="A199">
        <v>2596.5</v>
      </c>
      <c r="B199">
        <v>918.98</v>
      </c>
      <c r="C199">
        <f t="shared" si="3"/>
        <v>35.393029077604474</v>
      </c>
    </row>
    <row r="200" spans="1:3" x14ac:dyDescent="0.3">
      <c r="A200">
        <v>465.29</v>
      </c>
      <c r="B200">
        <v>154.75</v>
      </c>
      <c r="C200">
        <f t="shared" si="3"/>
        <v>33.258827827806314</v>
      </c>
    </row>
    <row r="201" spans="1:3" x14ac:dyDescent="0.3">
      <c r="A201">
        <v>229.6</v>
      </c>
      <c r="B201">
        <v>31.34</v>
      </c>
      <c r="C201">
        <f t="shared" si="3"/>
        <v>13.649825783972124</v>
      </c>
    </row>
    <row r="202" spans="1:3" x14ac:dyDescent="0.3">
      <c r="A202">
        <v>2193.6</v>
      </c>
      <c r="B202">
        <v>704.34</v>
      </c>
      <c r="C202">
        <f t="shared" si="3"/>
        <v>32.108862144420137</v>
      </c>
    </row>
    <row r="203" spans="1:3" x14ac:dyDescent="0.3">
      <c r="A203">
        <v>255.01</v>
      </c>
      <c r="B203">
        <v>73.709999999999994</v>
      </c>
      <c r="C203">
        <f t="shared" si="3"/>
        <v>28.904748833379081</v>
      </c>
    </row>
    <row r="204" spans="1:3" x14ac:dyDescent="0.3">
      <c r="A204">
        <v>759.72</v>
      </c>
      <c r="B204">
        <v>222.38</v>
      </c>
      <c r="C204">
        <f t="shared" si="3"/>
        <v>29.271310482809454</v>
      </c>
    </row>
    <row r="205" spans="1:3" x14ac:dyDescent="0.3">
      <c r="A205">
        <v>1359.05</v>
      </c>
      <c r="B205">
        <v>477.63</v>
      </c>
      <c r="C205">
        <f t="shared" si="3"/>
        <v>35.144402339869764</v>
      </c>
    </row>
    <row r="206" spans="1:3" x14ac:dyDescent="0.3">
      <c r="A206">
        <v>1277.6400000000001</v>
      </c>
      <c r="B206">
        <v>461.83</v>
      </c>
      <c r="C206">
        <f t="shared" si="3"/>
        <v>36.147114993268836</v>
      </c>
    </row>
    <row r="207" spans="1:3" x14ac:dyDescent="0.3">
      <c r="A207">
        <v>318.95999999999998</v>
      </c>
      <c r="B207">
        <v>47.01</v>
      </c>
      <c r="C207">
        <f t="shared" si="3"/>
        <v>14.738525206922498</v>
      </c>
    </row>
    <row r="208" spans="1:3" x14ac:dyDescent="0.3">
      <c r="A208">
        <v>631</v>
      </c>
      <c r="B208">
        <v>204.07</v>
      </c>
      <c r="C208">
        <f t="shared" si="3"/>
        <v>32.340729001584783</v>
      </c>
    </row>
    <row r="209" spans="1:3" x14ac:dyDescent="0.3">
      <c r="A209">
        <v>165.3</v>
      </c>
      <c r="B209">
        <v>60.13</v>
      </c>
      <c r="C209">
        <f t="shared" si="3"/>
        <v>36.376285541439806</v>
      </c>
    </row>
    <row r="210" spans="1:3" x14ac:dyDescent="0.3">
      <c r="A210">
        <v>515.05999999999995</v>
      </c>
      <c r="B210">
        <v>101.76</v>
      </c>
      <c r="C210">
        <f t="shared" si="3"/>
        <v>19.756921523705977</v>
      </c>
    </row>
    <row r="211" spans="1:3" x14ac:dyDescent="0.3">
      <c r="A211">
        <v>906.78</v>
      </c>
      <c r="B211">
        <v>196.18</v>
      </c>
      <c r="C211">
        <f t="shared" si="3"/>
        <v>21.634795650543683</v>
      </c>
    </row>
    <row r="212" spans="1:3" x14ac:dyDescent="0.3">
      <c r="A212">
        <v>479.91</v>
      </c>
      <c r="B212">
        <v>108.03</v>
      </c>
      <c r="C212">
        <f t="shared" si="3"/>
        <v>22.510470713258734</v>
      </c>
    </row>
    <row r="213" spans="1:3" x14ac:dyDescent="0.3">
      <c r="A213">
        <v>1060.92</v>
      </c>
      <c r="B213">
        <v>227.87</v>
      </c>
      <c r="C213">
        <f t="shared" si="3"/>
        <v>21.478528069976999</v>
      </c>
    </row>
    <row r="214" spans="1:3" x14ac:dyDescent="0.3">
      <c r="A214">
        <v>54.54</v>
      </c>
      <c r="B214">
        <v>17.09</v>
      </c>
      <c r="C214">
        <f t="shared" si="3"/>
        <v>31.334800146681335</v>
      </c>
    </row>
    <row r="215" spans="1:3" x14ac:dyDescent="0.3">
      <c r="A215">
        <v>2157.6</v>
      </c>
      <c r="B215">
        <v>665.19</v>
      </c>
      <c r="C215">
        <f t="shared" si="3"/>
        <v>30.830088987764189</v>
      </c>
    </row>
    <row r="216" spans="1:3" x14ac:dyDescent="0.3">
      <c r="A216">
        <v>657.8</v>
      </c>
      <c r="B216">
        <v>184.44</v>
      </c>
      <c r="C216">
        <f t="shared" si="3"/>
        <v>28.038917604135001</v>
      </c>
    </row>
    <row r="217" spans="1:3" x14ac:dyDescent="0.3">
      <c r="A217">
        <v>469.8</v>
      </c>
      <c r="B217">
        <v>171.28</v>
      </c>
      <c r="C217">
        <f t="shared" si="3"/>
        <v>36.458067262664962</v>
      </c>
    </row>
    <row r="218" spans="1:3" x14ac:dyDescent="0.3">
      <c r="A218">
        <v>786.45</v>
      </c>
      <c r="B218">
        <v>136.05000000000001</v>
      </c>
      <c r="C218">
        <f t="shared" si="3"/>
        <v>17.299256151058554</v>
      </c>
    </row>
    <row r="219" spans="1:3" x14ac:dyDescent="0.3">
      <c r="A219">
        <v>713.5</v>
      </c>
      <c r="B219">
        <v>163.12</v>
      </c>
      <c r="C219">
        <f t="shared" si="3"/>
        <v>22.861948142957253</v>
      </c>
    </row>
    <row r="220" spans="1:3" x14ac:dyDescent="0.3">
      <c r="A220">
        <v>418.77</v>
      </c>
      <c r="B220">
        <v>114.75</v>
      </c>
      <c r="C220">
        <f t="shared" si="3"/>
        <v>27.401676337846553</v>
      </c>
    </row>
    <row r="221" spans="1:3" x14ac:dyDescent="0.3">
      <c r="A221">
        <v>347.76</v>
      </c>
      <c r="B221">
        <v>47.42</v>
      </c>
      <c r="C221">
        <f t="shared" si="3"/>
        <v>13.635840809753855</v>
      </c>
    </row>
    <row r="222" spans="1:3" x14ac:dyDescent="0.3">
      <c r="A222">
        <v>2100.84</v>
      </c>
      <c r="B222">
        <v>835.19</v>
      </c>
      <c r="C222">
        <f t="shared" si="3"/>
        <v>39.755050360808056</v>
      </c>
    </row>
    <row r="223" spans="1:3" x14ac:dyDescent="0.3">
      <c r="A223">
        <v>642.07000000000005</v>
      </c>
      <c r="B223">
        <v>239.75</v>
      </c>
      <c r="C223">
        <f t="shared" si="3"/>
        <v>37.340165402526196</v>
      </c>
    </row>
    <row r="224" spans="1:3" x14ac:dyDescent="0.3">
      <c r="A224">
        <v>342.9</v>
      </c>
      <c r="B224">
        <v>45.74</v>
      </c>
      <c r="C224">
        <f t="shared" si="3"/>
        <v>13.339165937591135</v>
      </c>
    </row>
    <row r="225" spans="1:3" x14ac:dyDescent="0.3">
      <c r="A225">
        <v>1378.99</v>
      </c>
      <c r="B225">
        <v>361.07</v>
      </c>
      <c r="C225">
        <f t="shared" si="3"/>
        <v>26.183656154141801</v>
      </c>
    </row>
    <row r="226" spans="1:3" x14ac:dyDescent="0.3">
      <c r="A226">
        <v>2648.45</v>
      </c>
      <c r="B226">
        <v>866.65</v>
      </c>
      <c r="C226">
        <f t="shared" si="3"/>
        <v>32.722913402178634</v>
      </c>
    </row>
    <row r="227" spans="1:3" x14ac:dyDescent="0.3">
      <c r="A227">
        <v>661.98</v>
      </c>
      <c r="B227">
        <v>191.21</v>
      </c>
      <c r="C227">
        <f t="shared" si="3"/>
        <v>28.884558445874497</v>
      </c>
    </row>
    <row r="228" spans="1:3" x14ac:dyDescent="0.3">
      <c r="A228">
        <v>1748.32</v>
      </c>
      <c r="B228">
        <v>251.85</v>
      </c>
      <c r="C228">
        <f t="shared" si="3"/>
        <v>14.405257618742565</v>
      </c>
    </row>
    <row r="229" spans="1:3" x14ac:dyDescent="0.3">
      <c r="A229">
        <v>710.47</v>
      </c>
      <c r="B229">
        <v>116.73</v>
      </c>
      <c r="C229">
        <f t="shared" si="3"/>
        <v>16.429968893830843</v>
      </c>
    </row>
    <row r="230" spans="1:3" x14ac:dyDescent="0.3">
      <c r="A230">
        <v>834.4</v>
      </c>
      <c r="B230">
        <v>325.29000000000002</v>
      </c>
      <c r="C230">
        <f t="shared" si="3"/>
        <v>38.984899328859065</v>
      </c>
    </row>
    <row r="231" spans="1:3" x14ac:dyDescent="0.3">
      <c r="A231">
        <v>85.08</v>
      </c>
      <c r="B231">
        <v>13.12</v>
      </c>
      <c r="C231">
        <f t="shared" si="3"/>
        <v>15.420780441936998</v>
      </c>
    </row>
    <row r="232" spans="1:3" x14ac:dyDescent="0.3">
      <c r="A232">
        <v>619.64</v>
      </c>
      <c r="B232">
        <v>245.44</v>
      </c>
      <c r="C232">
        <f t="shared" si="3"/>
        <v>39.610096184881542</v>
      </c>
    </row>
    <row r="233" spans="1:3" x14ac:dyDescent="0.3">
      <c r="A233">
        <v>773.36</v>
      </c>
      <c r="B233">
        <v>239.48</v>
      </c>
      <c r="C233">
        <f t="shared" si="3"/>
        <v>30.966173580221369</v>
      </c>
    </row>
    <row r="234" spans="1:3" x14ac:dyDescent="0.3">
      <c r="A234">
        <v>1369.2</v>
      </c>
      <c r="B234">
        <v>291.17</v>
      </c>
      <c r="C234">
        <f t="shared" si="3"/>
        <v>21.265702600058429</v>
      </c>
    </row>
    <row r="235" spans="1:3" x14ac:dyDescent="0.3">
      <c r="A235">
        <v>469.8</v>
      </c>
      <c r="B235">
        <v>78.3</v>
      </c>
      <c r="C235">
        <f t="shared" si="3"/>
        <v>16.666666666666664</v>
      </c>
    </row>
    <row r="236" spans="1:3" x14ac:dyDescent="0.3">
      <c r="A236">
        <v>1349.74</v>
      </c>
      <c r="B236">
        <v>474.88</v>
      </c>
      <c r="C236">
        <f t="shared" si="3"/>
        <v>35.18307229540504</v>
      </c>
    </row>
    <row r="237" spans="1:3" x14ac:dyDescent="0.3">
      <c r="A237">
        <v>577.53</v>
      </c>
      <c r="B237">
        <v>60.38</v>
      </c>
      <c r="C237">
        <f t="shared" si="3"/>
        <v>10.454868145377731</v>
      </c>
    </row>
    <row r="238" spans="1:3" x14ac:dyDescent="0.3">
      <c r="A238">
        <v>1036.6400000000001</v>
      </c>
      <c r="B238">
        <v>237.87</v>
      </c>
      <c r="C238">
        <f t="shared" si="3"/>
        <v>22.946249421206975</v>
      </c>
    </row>
    <row r="239" spans="1:3" x14ac:dyDescent="0.3">
      <c r="A239">
        <v>1548.5</v>
      </c>
      <c r="B239">
        <v>566.41</v>
      </c>
      <c r="C239">
        <f t="shared" si="3"/>
        <v>36.577978689053921</v>
      </c>
    </row>
    <row r="240" spans="1:3" x14ac:dyDescent="0.3">
      <c r="A240">
        <v>1035.47</v>
      </c>
      <c r="B240">
        <v>301.38</v>
      </c>
      <c r="C240">
        <f t="shared" si="3"/>
        <v>29.105623533274745</v>
      </c>
    </row>
    <row r="241" spans="1:3" x14ac:dyDescent="0.3">
      <c r="A241">
        <v>778.75</v>
      </c>
      <c r="B241">
        <v>231.3</v>
      </c>
      <c r="C241">
        <f t="shared" si="3"/>
        <v>29.701444622792938</v>
      </c>
    </row>
    <row r="242" spans="1:3" x14ac:dyDescent="0.3">
      <c r="A242">
        <v>933.6</v>
      </c>
      <c r="B242">
        <v>342.72</v>
      </c>
      <c r="C242">
        <f t="shared" si="3"/>
        <v>36.709511568123396</v>
      </c>
    </row>
    <row r="243" spans="1:3" x14ac:dyDescent="0.3">
      <c r="A243">
        <v>333.88</v>
      </c>
      <c r="B243">
        <v>48.15</v>
      </c>
      <c r="C243">
        <f t="shared" si="3"/>
        <v>14.421348987660238</v>
      </c>
    </row>
    <row r="244" spans="1:3" x14ac:dyDescent="0.3">
      <c r="A244">
        <v>2121.9499999999998</v>
      </c>
      <c r="B244">
        <v>790.56</v>
      </c>
      <c r="C244">
        <f t="shared" si="3"/>
        <v>37.25629727373407</v>
      </c>
    </row>
    <row r="245" spans="1:3" x14ac:dyDescent="0.3">
      <c r="A245">
        <v>1917</v>
      </c>
      <c r="B245">
        <v>237.73</v>
      </c>
      <c r="C245">
        <f t="shared" si="3"/>
        <v>12.401147626499737</v>
      </c>
    </row>
    <row r="246" spans="1:3" x14ac:dyDescent="0.3">
      <c r="A246">
        <v>795.5</v>
      </c>
      <c r="B246">
        <v>258.17</v>
      </c>
      <c r="C246">
        <f t="shared" si="3"/>
        <v>32.453802639849158</v>
      </c>
    </row>
    <row r="247" spans="1:3" x14ac:dyDescent="0.3">
      <c r="A247">
        <v>616.59</v>
      </c>
      <c r="B247">
        <v>168.83</v>
      </c>
      <c r="C247">
        <f t="shared" si="3"/>
        <v>27.381241992247684</v>
      </c>
    </row>
    <row r="248" spans="1:3" x14ac:dyDescent="0.3">
      <c r="A248">
        <v>108.04</v>
      </c>
      <c r="B248">
        <v>31.31</v>
      </c>
      <c r="C248">
        <f t="shared" si="3"/>
        <v>28.980007404664939</v>
      </c>
    </row>
    <row r="249" spans="1:3" x14ac:dyDescent="0.3">
      <c r="A249">
        <v>1267.2</v>
      </c>
      <c r="B249">
        <v>461.88</v>
      </c>
      <c r="C249">
        <f t="shared" si="3"/>
        <v>36.448863636363633</v>
      </c>
    </row>
    <row r="250" spans="1:3" x14ac:dyDescent="0.3">
      <c r="A250">
        <v>1040.1600000000001</v>
      </c>
      <c r="B250">
        <v>398.98</v>
      </c>
      <c r="C250">
        <f t="shared" si="3"/>
        <v>38.357560375326869</v>
      </c>
    </row>
    <row r="251" spans="1:3" x14ac:dyDescent="0.3">
      <c r="A251">
        <v>2656.6</v>
      </c>
      <c r="B251">
        <v>1116.3</v>
      </c>
      <c r="C251">
        <f t="shared" si="3"/>
        <v>42.019875028231574</v>
      </c>
    </row>
    <row r="252" spans="1:3" x14ac:dyDescent="0.3">
      <c r="A252">
        <v>698.64</v>
      </c>
      <c r="B252">
        <v>164.65</v>
      </c>
      <c r="C252">
        <f t="shared" si="3"/>
        <v>23.567216305965879</v>
      </c>
    </row>
    <row r="253" spans="1:3" x14ac:dyDescent="0.3">
      <c r="A253">
        <v>167.46</v>
      </c>
      <c r="B253">
        <v>22.45</v>
      </c>
      <c r="C253">
        <f t="shared" si="3"/>
        <v>13.40618655201242</v>
      </c>
    </row>
    <row r="254" spans="1:3" x14ac:dyDescent="0.3">
      <c r="A254">
        <v>764.12</v>
      </c>
      <c r="B254">
        <v>108.34</v>
      </c>
      <c r="C254">
        <f t="shared" si="3"/>
        <v>14.17840129822541</v>
      </c>
    </row>
    <row r="255" spans="1:3" x14ac:dyDescent="0.3">
      <c r="A255">
        <v>1686.36</v>
      </c>
      <c r="B255">
        <v>558.55999999999995</v>
      </c>
      <c r="C255">
        <f t="shared" si="3"/>
        <v>33.122227756825353</v>
      </c>
    </row>
    <row r="256" spans="1:3" x14ac:dyDescent="0.3">
      <c r="A256">
        <v>521.92999999999995</v>
      </c>
      <c r="B256">
        <v>196.14</v>
      </c>
      <c r="C256">
        <f t="shared" si="3"/>
        <v>37.579752074032918</v>
      </c>
    </row>
    <row r="257" spans="1:3" x14ac:dyDescent="0.3">
      <c r="A257">
        <v>380.38</v>
      </c>
      <c r="B257">
        <v>110.91</v>
      </c>
      <c r="C257">
        <f t="shared" si="3"/>
        <v>29.157684420842315</v>
      </c>
    </row>
    <row r="258" spans="1:3" x14ac:dyDescent="0.3">
      <c r="A258">
        <v>104.68</v>
      </c>
      <c r="B258">
        <v>26.35</v>
      </c>
      <c r="C258">
        <f t="shared" si="3"/>
        <v>25.171952617500953</v>
      </c>
    </row>
    <row r="259" spans="1:3" x14ac:dyDescent="0.3">
      <c r="A259">
        <v>1604.76</v>
      </c>
      <c r="B259">
        <v>576.25</v>
      </c>
      <c r="C259">
        <f t="shared" ref="C259:C322" si="4">B259/A259*100</f>
        <v>35.908796330915528</v>
      </c>
    </row>
    <row r="260" spans="1:3" x14ac:dyDescent="0.3">
      <c r="A260">
        <v>622.35</v>
      </c>
      <c r="B260">
        <v>115.91</v>
      </c>
      <c r="C260">
        <f t="shared" si="4"/>
        <v>18.624568169036714</v>
      </c>
    </row>
    <row r="261" spans="1:3" x14ac:dyDescent="0.3">
      <c r="A261">
        <v>722.76</v>
      </c>
      <c r="B261">
        <v>223.63</v>
      </c>
      <c r="C261">
        <f t="shared" si="4"/>
        <v>30.941114616193481</v>
      </c>
    </row>
    <row r="262" spans="1:3" x14ac:dyDescent="0.3">
      <c r="A262">
        <v>709.4</v>
      </c>
      <c r="B262">
        <v>290.76</v>
      </c>
      <c r="C262">
        <f t="shared" si="4"/>
        <v>40.986749365661126</v>
      </c>
    </row>
    <row r="263" spans="1:3" x14ac:dyDescent="0.3">
      <c r="A263">
        <v>650.76</v>
      </c>
      <c r="B263">
        <v>187.33</v>
      </c>
      <c r="C263">
        <f t="shared" si="4"/>
        <v>28.786342123056119</v>
      </c>
    </row>
    <row r="264" spans="1:3" x14ac:dyDescent="0.3">
      <c r="A264">
        <v>388</v>
      </c>
      <c r="B264">
        <v>51.61</v>
      </c>
      <c r="C264">
        <f t="shared" si="4"/>
        <v>13.301546391752577</v>
      </c>
    </row>
    <row r="265" spans="1:3" x14ac:dyDescent="0.3">
      <c r="A265">
        <v>101.52</v>
      </c>
      <c r="B265">
        <v>24.2</v>
      </c>
      <c r="C265">
        <f t="shared" si="4"/>
        <v>23.837667454688731</v>
      </c>
    </row>
    <row r="266" spans="1:3" x14ac:dyDescent="0.3">
      <c r="A266">
        <v>422.4</v>
      </c>
      <c r="B266">
        <v>90.32</v>
      </c>
      <c r="C266">
        <f t="shared" si="4"/>
        <v>21.382575757575754</v>
      </c>
    </row>
    <row r="267" spans="1:3" x14ac:dyDescent="0.3">
      <c r="A267">
        <v>58.15</v>
      </c>
      <c r="B267">
        <v>18.95</v>
      </c>
      <c r="C267">
        <f t="shared" si="4"/>
        <v>32.588134135855547</v>
      </c>
    </row>
    <row r="268" spans="1:3" x14ac:dyDescent="0.3">
      <c r="A268">
        <v>1470.72</v>
      </c>
      <c r="B268">
        <v>363.95</v>
      </c>
      <c r="C268">
        <f t="shared" si="4"/>
        <v>24.746382724107917</v>
      </c>
    </row>
    <row r="269" spans="1:3" x14ac:dyDescent="0.3">
      <c r="A269">
        <v>622.34</v>
      </c>
      <c r="B269">
        <v>117.69</v>
      </c>
      <c r="C269">
        <f t="shared" si="4"/>
        <v>18.910884725391263</v>
      </c>
    </row>
    <row r="270" spans="1:3" x14ac:dyDescent="0.3">
      <c r="A270">
        <v>983.16</v>
      </c>
      <c r="B270">
        <v>384.55</v>
      </c>
      <c r="C270">
        <f t="shared" si="4"/>
        <v>39.113674274787428</v>
      </c>
    </row>
    <row r="271" spans="1:3" x14ac:dyDescent="0.3">
      <c r="A271">
        <v>684.9</v>
      </c>
      <c r="B271">
        <v>270.08999999999997</v>
      </c>
      <c r="C271">
        <f t="shared" si="4"/>
        <v>39.434954007884357</v>
      </c>
    </row>
    <row r="272" spans="1:3" x14ac:dyDescent="0.3">
      <c r="A272">
        <v>1833.78</v>
      </c>
      <c r="B272">
        <v>535.77</v>
      </c>
      <c r="C272">
        <f t="shared" si="4"/>
        <v>29.216699931289469</v>
      </c>
    </row>
    <row r="273" spans="1:3" x14ac:dyDescent="0.3">
      <c r="A273">
        <v>953.04</v>
      </c>
      <c r="B273">
        <v>265.74</v>
      </c>
      <c r="C273">
        <f t="shared" si="4"/>
        <v>27.883404683958702</v>
      </c>
    </row>
    <row r="274" spans="1:3" x14ac:dyDescent="0.3">
      <c r="A274">
        <v>190.14</v>
      </c>
      <c r="B274">
        <v>42.62</v>
      </c>
      <c r="C274">
        <f t="shared" si="4"/>
        <v>22.415062585463343</v>
      </c>
    </row>
    <row r="275" spans="1:3" x14ac:dyDescent="0.3">
      <c r="A275">
        <v>1012.32</v>
      </c>
      <c r="B275">
        <v>320.08</v>
      </c>
      <c r="C275">
        <f t="shared" si="4"/>
        <v>31.618460565828983</v>
      </c>
    </row>
    <row r="276" spans="1:3" x14ac:dyDescent="0.3">
      <c r="A276">
        <v>2233.91</v>
      </c>
      <c r="B276">
        <v>460</v>
      </c>
      <c r="C276">
        <f t="shared" si="4"/>
        <v>20.591697964555422</v>
      </c>
    </row>
    <row r="277" spans="1:3" x14ac:dyDescent="0.3">
      <c r="A277">
        <v>288.24</v>
      </c>
      <c r="B277">
        <v>38.44</v>
      </c>
      <c r="C277">
        <f t="shared" si="4"/>
        <v>13.3361087982237</v>
      </c>
    </row>
    <row r="278" spans="1:3" x14ac:dyDescent="0.3">
      <c r="A278">
        <v>500.48</v>
      </c>
      <c r="B278">
        <v>67.790000000000006</v>
      </c>
      <c r="C278">
        <f t="shared" si="4"/>
        <v>13.544996803069054</v>
      </c>
    </row>
    <row r="279" spans="1:3" x14ac:dyDescent="0.3">
      <c r="A279">
        <v>935.88</v>
      </c>
      <c r="B279">
        <v>186.51</v>
      </c>
      <c r="C279">
        <f t="shared" si="4"/>
        <v>19.928837030388511</v>
      </c>
    </row>
    <row r="280" spans="1:3" x14ac:dyDescent="0.3">
      <c r="A280">
        <v>1611.35</v>
      </c>
      <c r="B280">
        <v>618.57000000000005</v>
      </c>
      <c r="C280">
        <f t="shared" si="4"/>
        <v>38.388307940546753</v>
      </c>
    </row>
    <row r="281" spans="1:3" x14ac:dyDescent="0.3">
      <c r="A281">
        <v>850.92</v>
      </c>
      <c r="B281">
        <v>177.49</v>
      </c>
      <c r="C281">
        <f t="shared" si="4"/>
        <v>20.85860010341748</v>
      </c>
    </row>
    <row r="282" spans="1:3" x14ac:dyDescent="0.3">
      <c r="A282">
        <v>1035.44</v>
      </c>
      <c r="B282">
        <v>226.37</v>
      </c>
      <c r="C282">
        <f t="shared" si="4"/>
        <v>21.862203507687553</v>
      </c>
    </row>
    <row r="283" spans="1:3" x14ac:dyDescent="0.3">
      <c r="A283">
        <v>966.14</v>
      </c>
      <c r="B283">
        <v>373.47</v>
      </c>
      <c r="C283">
        <f t="shared" si="4"/>
        <v>38.655888380565969</v>
      </c>
    </row>
    <row r="284" spans="1:3" x14ac:dyDescent="0.3">
      <c r="A284">
        <v>820.41</v>
      </c>
      <c r="B284">
        <v>177.26</v>
      </c>
      <c r="C284">
        <f t="shared" si="4"/>
        <v>21.606270035713852</v>
      </c>
    </row>
    <row r="285" spans="1:3" x14ac:dyDescent="0.3">
      <c r="A285">
        <v>768.79</v>
      </c>
      <c r="B285">
        <v>303.63</v>
      </c>
      <c r="C285">
        <f t="shared" si="4"/>
        <v>39.494530365899664</v>
      </c>
    </row>
    <row r="286" spans="1:3" x14ac:dyDescent="0.3">
      <c r="A286">
        <v>638.77</v>
      </c>
      <c r="B286">
        <v>209.88</v>
      </c>
      <c r="C286">
        <f t="shared" si="4"/>
        <v>32.85689684863096</v>
      </c>
    </row>
    <row r="287" spans="1:3" x14ac:dyDescent="0.3">
      <c r="A287">
        <v>146.28</v>
      </c>
      <c r="B287">
        <v>39.83</v>
      </c>
      <c r="C287">
        <f t="shared" si="4"/>
        <v>27.228602679792179</v>
      </c>
    </row>
    <row r="288" spans="1:3" x14ac:dyDescent="0.3">
      <c r="A288">
        <v>1492.54</v>
      </c>
      <c r="B288">
        <v>460.72</v>
      </c>
      <c r="C288">
        <f t="shared" si="4"/>
        <v>30.868184437268013</v>
      </c>
    </row>
    <row r="289" spans="1:3" x14ac:dyDescent="0.3">
      <c r="A289">
        <v>880.25</v>
      </c>
      <c r="B289">
        <v>140.44999999999999</v>
      </c>
      <c r="C289">
        <f t="shared" si="4"/>
        <v>15.95569440499858</v>
      </c>
    </row>
    <row r="290" spans="1:3" x14ac:dyDescent="0.3">
      <c r="A290">
        <v>1658.34</v>
      </c>
      <c r="B290">
        <v>556.59</v>
      </c>
      <c r="C290">
        <f t="shared" si="4"/>
        <v>33.563081153442603</v>
      </c>
    </row>
    <row r="291" spans="1:3" x14ac:dyDescent="0.3">
      <c r="A291">
        <v>206.25</v>
      </c>
      <c r="B291">
        <v>24.08</v>
      </c>
      <c r="C291">
        <f t="shared" si="4"/>
        <v>11.675151515151514</v>
      </c>
    </row>
    <row r="292" spans="1:3" x14ac:dyDescent="0.3">
      <c r="A292">
        <v>1171.42</v>
      </c>
      <c r="B292">
        <v>372.47</v>
      </c>
      <c r="C292">
        <f t="shared" si="4"/>
        <v>31.796452169162215</v>
      </c>
    </row>
    <row r="293" spans="1:3" x14ac:dyDescent="0.3">
      <c r="A293">
        <v>556.58000000000004</v>
      </c>
      <c r="B293">
        <v>201.9</v>
      </c>
      <c r="C293">
        <f t="shared" si="4"/>
        <v>36.275108699558011</v>
      </c>
    </row>
    <row r="294" spans="1:3" x14ac:dyDescent="0.3">
      <c r="A294">
        <v>326.48</v>
      </c>
      <c r="B294">
        <v>105.29</v>
      </c>
      <c r="C294">
        <f t="shared" si="4"/>
        <v>32.250061259495219</v>
      </c>
    </row>
    <row r="295" spans="1:3" x14ac:dyDescent="0.3">
      <c r="A295">
        <v>396.32</v>
      </c>
      <c r="B295">
        <v>92.72</v>
      </c>
      <c r="C295">
        <f t="shared" si="4"/>
        <v>23.395236172789666</v>
      </c>
    </row>
    <row r="296" spans="1:3" x14ac:dyDescent="0.3">
      <c r="A296">
        <v>2203.5</v>
      </c>
      <c r="B296">
        <v>501.92</v>
      </c>
      <c r="C296">
        <f t="shared" si="4"/>
        <v>22.778307238484231</v>
      </c>
    </row>
    <row r="297" spans="1:3" x14ac:dyDescent="0.3">
      <c r="A297">
        <v>24.01</v>
      </c>
      <c r="B297">
        <v>6.93</v>
      </c>
      <c r="C297">
        <f t="shared" si="4"/>
        <v>28.862973760932942</v>
      </c>
    </row>
    <row r="298" spans="1:3" x14ac:dyDescent="0.3">
      <c r="A298">
        <v>1619.55</v>
      </c>
      <c r="B298">
        <v>444.6</v>
      </c>
      <c r="C298">
        <f t="shared" si="4"/>
        <v>27.452070019449849</v>
      </c>
    </row>
    <row r="299" spans="1:3" x14ac:dyDescent="0.3">
      <c r="A299">
        <v>127.25</v>
      </c>
      <c r="B299">
        <v>20.03</v>
      </c>
      <c r="C299">
        <f t="shared" si="4"/>
        <v>15.740667976424364</v>
      </c>
    </row>
    <row r="300" spans="1:3" x14ac:dyDescent="0.3">
      <c r="A300">
        <v>468.72</v>
      </c>
      <c r="B300">
        <v>82.6</v>
      </c>
      <c r="C300">
        <f t="shared" si="4"/>
        <v>17.622461170848265</v>
      </c>
    </row>
    <row r="301" spans="1:3" x14ac:dyDescent="0.3">
      <c r="A301">
        <v>625.24</v>
      </c>
      <c r="B301">
        <v>224</v>
      </c>
      <c r="C301">
        <f t="shared" si="4"/>
        <v>35.826242722794447</v>
      </c>
    </row>
    <row r="302" spans="1:3" x14ac:dyDescent="0.3">
      <c r="A302">
        <v>1926.19</v>
      </c>
      <c r="B302">
        <v>288.49</v>
      </c>
      <c r="C302">
        <f t="shared" si="4"/>
        <v>14.977234852221224</v>
      </c>
    </row>
    <row r="303" spans="1:3" x14ac:dyDescent="0.3">
      <c r="A303">
        <v>137.69999999999999</v>
      </c>
      <c r="B303">
        <v>39.07</v>
      </c>
      <c r="C303">
        <f t="shared" si="4"/>
        <v>28.373275236020334</v>
      </c>
    </row>
    <row r="304" spans="1:3" x14ac:dyDescent="0.3">
      <c r="A304">
        <v>970.2</v>
      </c>
      <c r="B304">
        <v>208.46</v>
      </c>
      <c r="C304">
        <f t="shared" si="4"/>
        <v>21.486291486291485</v>
      </c>
    </row>
    <row r="305" spans="1:3" x14ac:dyDescent="0.3">
      <c r="A305">
        <v>2201.5</v>
      </c>
      <c r="B305">
        <v>773.45</v>
      </c>
      <c r="C305">
        <f t="shared" si="4"/>
        <v>35.132863956393365</v>
      </c>
    </row>
    <row r="306" spans="1:3" x14ac:dyDescent="0.3">
      <c r="A306">
        <v>1274.98</v>
      </c>
      <c r="B306">
        <v>233.14</v>
      </c>
      <c r="C306">
        <f t="shared" si="4"/>
        <v>18.285777031796577</v>
      </c>
    </row>
    <row r="307" spans="1:3" x14ac:dyDescent="0.3">
      <c r="A307">
        <v>32.979999999999997</v>
      </c>
      <c r="B307">
        <v>6.09</v>
      </c>
      <c r="C307">
        <f t="shared" si="4"/>
        <v>18.465736810187995</v>
      </c>
    </row>
    <row r="308" spans="1:3" x14ac:dyDescent="0.3">
      <c r="A308">
        <v>361.62</v>
      </c>
      <c r="B308">
        <v>123.74</v>
      </c>
      <c r="C308">
        <f t="shared" si="4"/>
        <v>34.218240141585085</v>
      </c>
    </row>
    <row r="309" spans="1:3" x14ac:dyDescent="0.3">
      <c r="A309">
        <v>1934.01</v>
      </c>
      <c r="B309">
        <v>506.22</v>
      </c>
      <c r="C309">
        <f t="shared" si="4"/>
        <v>26.174631982254486</v>
      </c>
    </row>
    <row r="310" spans="1:3" x14ac:dyDescent="0.3">
      <c r="A310">
        <v>251.94</v>
      </c>
      <c r="B310">
        <v>49.18</v>
      </c>
      <c r="C310">
        <f t="shared" si="4"/>
        <v>19.520520758910852</v>
      </c>
    </row>
    <row r="311" spans="1:3" x14ac:dyDescent="0.3">
      <c r="A311">
        <v>568.79999999999995</v>
      </c>
      <c r="B311">
        <v>125.49</v>
      </c>
      <c r="C311">
        <f t="shared" si="4"/>
        <v>22.062236286919831</v>
      </c>
    </row>
    <row r="312" spans="1:3" x14ac:dyDescent="0.3">
      <c r="A312">
        <v>1714</v>
      </c>
      <c r="B312">
        <v>654.16</v>
      </c>
      <c r="C312">
        <f t="shared" si="4"/>
        <v>38.1656942823804</v>
      </c>
    </row>
    <row r="313" spans="1:3" x14ac:dyDescent="0.3">
      <c r="A313">
        <v>1469.5</v>
      </c>
      <c r="B313">
        <v>467.99</v>
      </c>
      <c r="C313">
        <f t="shared" si="4"/>
        <v>31.846886696155156</v>
      </c>
    </row>
    <row r="314" spans="1:3" x14ac:dyDescent="0.3">
      <c r="A314">
        <v>1395.64</v>
      </c>
      <c r="B314">
        <v>463.44</v>
      </c>
      <c r="C314">
        <f t="shared" si="4"/>
        <v>33.20627095812673</v>
      </c>
    </row>
    <row r="315" spans="1:3" x14ac:dyDescent="0.3">
      <c r="A315">
        <v>940.5</v>
      </c>
      <c r="B315">
        <v>262.75</v>
      </c>
      <c r="C315">
        <f t="shared" si="4"/>
        <v>27.937267410951623</v>
      </c>
    </row>
    <row r="316" spans="1:3" x14ac:dyDescent="0.3">
      <c r="A316">
        <v>59.28</v>
      </c>
      <c r="B316">
        <v>9.69</v>
      </c>
      <c r="C316">
        <f t="shared" si="4"/>
        <v>16.346153846153847</v>
      </c>
    </row>
    <row r="317" spans="1:3" x14ac:dyDescent="0.3">
      <c r="A317">
        <v>1339.2</v>
      </c>
      <c r="B317">
        <v>192.89</v>
      </c>
      <c r="C317">
        <f t="shared" si="4"/>
        <v>14.403375149342889</v>
      </c>
    </row>
    <row r="318" spans="1:3" x14ac:dyDescent="0.3">
      <c r="A318">
        <v>1078.56</v>
      </c>
      <c r="B318">
        <v>314.05</v>
      </c>
      <c r="C318">
        <f t="shared" si="4"/>
        <v>29.117527073134553</v>
      </c>
    </row>
    <row r="319" spans="1:3" x14ac:dyDescent="0.3">
      <c r="A319">
        <v>341.88</v>
      </c>
      <c r="B319">
        <v>77.2</v>
      </c>
      <c r="C319">
        <f t="shared" si="4"/>
        <v>22.581022581022584</v>
      </c>
    </row>
    <row r="320" spans="1:3" x14ac:dyDescent="0.3">
      <c r="A320">
        <v>1089.9000000000001</v>
      </c>
      <c r="B320">
        <v>222.4</v>
      </c>
      <c r="C320">
        <f t="shared" si="4"/>
        <v>20.40554179282503</v>
      </c>
    </row>
    <row r="321" spans="1:3" x14ac:dyDescent="0.3">
      <c r="A321">
        <v>904.8</v>
      </c>
      <c r="B321">
        <v>84.67</v>
      </c>
      <c r="C321">
        <f t="shared" si="4"/>
        <v>9.3578691423519018</v>
      </c>
    </row>
    <row r="322" spans="1:3" x14ac:dyDescent="0.3">
      <c r="A322">
        <v>1201.2</v>
      </c>
      <c r="B322">
        <v>329.23</v>
      </c>
      <c r="C322">
        <f t="shared" si="4"/>
        <v>27.408424908424912</v>
      </c>
    </row>
    <row r="323" spans="1:3" x14ac:dyDescent="0.3">
      <c r="A323">
        <v>406.8</v>
      </c>
      <c r="B323">
        <v>82.52</v>
      </c>
      <c r="C323">
        <f t="shared" ref="C323:C386" si="5">B323/A323*100</f>
        <v>20.285152409046212</v>
      </c>
    </row>
    <row r="324" spans="1:3" x14ac:dyDescent="0.3">
      <c r="A324">
        <v>642.25</v>
      </c>
      <c r="B324">
        <v>166.65</v>
      </c>
      <c r="C324">
        <f t="shared" si="5"/>
        <v>25.947839626313741</v>
      </c>
    </row>
    <row r="325" spans="1:3" x14ac:dyDescent="0.3">
      <c r="A325">
        <v>1104.3900000000001</v>
      </c>
      <c r="B325">
        <v>312.33</v>
      </c>
      <c r="C325">
        <f t="shared" si="5"/>
        <v>28.280770380028791</v>
      </c>
    </row>
    <row r="326" spans="1:3" x14ac:dyDescent="0.3">
      <c r="A326">
        <v>442</v>
      </c>
      <c r="B326">
        <v>143.55000000000001</v>
      </c>
      <c r="C326">
        <f t="shared" si="5"/>
        <v>32.477375565610863</v>
      </c>
    </row>
    <row r="327" spans="1:3" x14ac:dyDescent="0.3">
      <c r="A327">
        <v>669.9</v>
      </c>
      <c r="B327">
        <v>258.62</v>
      </c>
      <c r="C327">
        <f t="shared" si="5"/>
        <v>38.605762054037918</v>
      </c>
    </row>
    <row r="328" spans="1:3" x14ac:dyDescent="0.3">
      <c r="A328">
        <v>580.32000000000005</v>
      </c>
      <c r="B328">
        <v>203.74</v>
      </c>
      <c r="C328">
        <f t="shared" si="5"/>
        <v>35.108216156603248</v>
      </c>
    </row>
    <row r="329" spans="1:3" x14ac:dyDescent="0.3">
      <c r="A329">
        <v>1926.94</v>
      </c>
      <c r="B329">
        <v>541.54999999999995</v>
      </c>
      <c r="C329">
        <f t="shared" si="5"/>
        <v>28.104144394739844</v>
      </c>
    </row>
    <row r="330" spans="1:3" x14ac:dyDescent="0.3">
      <c r="A330">
        <v>913.32</v>
      </c>
      <c r="B330">
        <v>314.75</v>
      </c>
      <c r="C330">
        <f t="shared" si="5"/>
        <v>34.462181929663203</v>
      </c>
    </row>
    <row r="331" spans="1:3" x14ac:dyDescent="0.3">
      <c r="A331">
        <v>943.6</v>
      </c>
      <c r="B331">
        <v>293.43</v>
      </c>
      <c r="C331">
        <f t="shared" si="5"/>
        <v>31.096863077575243</v>
      </c>
    </row>
    <row r="332" spans="1:3" x14ac:dyDescent="0.3">
      <c r="A332">
        <v>1752.34</v>
      </c>
      <c r="B332">
        <v>225.25</v>
      </c>
      <c r="C332">
        <f t="shared" si="5"/>
        <v>12.854240615405688</v>
      </c>
    </row>
    <row r="333" spans="1:3" x14ac:dyDescent="0.3">
      <c r="A333">
        <v>724.32</v>
      </c>
      <c r="B333">
        <v>199.35</v>
      </c>
      <c r="C333">
        <f t="shared" si="5"/>
        <v>27.522365805168985</v>
      </c>
    </row>
    <row r="334" spans="1:3" x14ac:dyDescent="0.3">
      <c r="A334">
        <v>880.88</v>
      </c>
      <c r="B334">
        <v>138.61000000000001</v>
      </c>
      <c r="C334">
        <f t="shared" si="5"/>
        <v>15.735400962673692</v>
      </c>
    </row>
    <row r="335" spans="1:3" x14ac:dyDescent="0.3">
      <c r="A335">
        <v>329.4</v>
      </c>
      <c r="B335">
        <v>76.180000000000007</v>
      </c>
      <c r="C335">
        <f t="shared" si="5"/>
        <v>23.126897389192475</v>
      </c>
    </row>
    <row r="336" spans="1:3" x14ac:dyDescent="0.3">
      <c r="A336">
        <v>794.82</v>
      </c>
      <c r="B336">
        <v>255.37</v>
      </c>
      <c r="C336">
        <f t="shared" si="5"/>
        <v>32.129287134193909</v>
      </c>
    </row>
    <row r="337" spans="1:3" x14ac:dyDescent="0.3">
      <c r="A337">
        <v>1480.74</v>
      </c>
      <c r="B337">
        <v>219.61</v>
      </c>
      <c r="C337">
        <f t="shared" si="5"/>
        <v>14.831097964531248</v>
      </c>
    </row>
    <row r="338" spans="1:3" x14ac:dyDescent="0.3">
      <c r="A338">
        <v>635.79999999999995</v>
      </c>
      <c r="B338">
        <v>237.37</v>
      </c>
      <c r="C338">
        <f t="shared" si="5"/>
        <v>37.334067316766287</v>
      </c>
    </row>
    <row r="339" spans="1:3" x14ac:dyDescent="0.3">
      <c r="A339">
        <v>231.52</v>
      </c>
      <c r="B339">
        <v>80.52</v>
      </c>
      <c r="C339">
        <f t="shared" si="5"/>
        <v>34.778852798894263</v>
      </c>
    </row>
    <row r="340" spans="1:3" x14ac:dyDescent="0.3">
      <c r="A340">
        <v>1226.4000000000001</v>
      </c>
      <c r="B340">
        <v>421.16</v>
      </c>
      <c r="C340">
        <f t="shared" si="5"/>
        <v>34.341161121983035</v>
      </c>
    </row>
    <row r="341" spans="1:3" x14ac:dyDescent="0.3">
      <c r="A341">
        <v>2379.96</v>
      </c>
      <c r="B341">
        <v>865.57</v>
      </c>
      <c r="C341">
        <f t="shared" si="5"/>
        <v>36.369098640313283</v>
      </c>
    </row>
    <row r="342" spans="1:3" x14ac:dyDescent="0.3">
      <c r="A342">
        <v>2204.48</v>
      </c>
      <c r="B342">
        <v>772.43</v>
      </c>
      <c r="C342">
        <f t="shared" si="5"/>
        <v>35.039102191900128</v>
      </c>
    </row>
    <row r="343" spans="1:3" x14ac:dyDescent="0.3">
      <c r="A343">
        <v>1907.4</v>
      </c>
      <c r="B343">
        <v>268.35000000000002</v>
      </c>
      <c r="C343">
        <f t="shared" si="5"/>
        <v>14.068889587920729</v>
      </c>
    </row>
    <row r="344" spans="1:3" x14ac:dyDescent="0.3">
      <c r="A344">
        <v>816</v>
      </c>
      <c r="B344">
        <v>101.85</v>
      </c>
      <c r="C344">
        <f t="shared" si="5"/>
        <v>12.481617647058822</v>
      </c>
    </row>
    <row r="345" spans="1:3" x14ac:dyDescent="0.3">
      <c r="A345">
        <v>1240.25</v>
      </c>
      <c r="B345">
        <v>409.39</v>
      </c>
      <c r="C345">
        <f t="shared" si="5"/>
        <v>33.00866760733723</v>
      </c>
    </row>
    <row r="346" spans="1:3" x14ac:dyDescent="0.3">
      <c r="A346">
        <v>355.65</v>
      </c>
      <c r="B346">
        <v>115.93</v>
      </c>
      <c r="C346">
        <f t="shared" si="5"/>
        <v>32.596654013777595</v>
      </c>
    </row>
    <row r="347" spans="1:3" x14ac:dyDescent="0.3">
      <c r="A347">
        <v>1605.12</v>
      </c>
      <c r="B347">
        <v>450.41</v>
      </c>
      <c r="C347">
        <f t="shared" si="5"/>
        <v>28.060830342902715</v>
      </c>
    </row>
    <row r="348" spans="1:3" x14ac:dyDescent="0.3">
      <c r="A348">
        <v>356.58</v>
      </c>
      <c r="B348">
        <v>100.39</v>
      </c>
      <c r="C348">
        <f t="shared" si="5"/>
        <v>28.153570026361546</v>
      </c>
    </row>
    <row r="349" spans="1:3" x14ac:dyDescent="0.3">
      <c r="A349">
        <v>31.4</v>
      </c>
      <c r="B349">
        <v>10.26</v>
      </c>
      <c r="C349">
        <f t="shared" si="5"/>
        <v>32.675159235668787</v>
      </c>
    </row>
    <row r="350" spans="1:3" x14ac:dyDescent="0.3">
      <c r="A350">
        <v>520.52</v>
      </c>
      <c r="B350">
        <v>149.44</v>
      </c>
      <c r="C350">
        <f t="shared" si="5"/>
        <v>28.709751786674865</v>
      </c>
    </row>
    <row r="351" spans="1:3" x14ac:dyDescent="0.3">
      <c r="A351">
        <v>1033</v>
      </c>
      <c r="B351">
        <v>223.87</v>
      </c>
      <c r="C351">
        <f t="shared" si="5"/>
        <v>21.671829622458858</v>
      </c>
    </row>
    <row r="352" spans="1:3" x14ac:dyDescent="0.3">
      <c r="A352">
        <v>186.48</v>
      </c>
      <c r="B352">
        <v>33.19</v>
      </c>
      <c r="C352">
        <f t="shared" si="5"/>
        <v>17.798155298155301</v>
      </c>
    </row>
    <row r="353" spans="1:3" x14ac:dyDescent="0.3">
      <c r="A353">
        <v>806.97</v>
      </c>
      <c r="B353">
        <v>213.84</v>
      </c>
      <c r="C353">
        <f t="shared" si="5"/>
        <v>26.499126361574781</v>
      </c>
    </row>
    <row r="354" spans="1:3" x14ac:dyDescent="0.3">
      <c r="A354">
        <v>1280.6400000000001</v>
      </c>
      <c r="B354">
        <v>481.28</v>
      </c>
      <c r="C354">
        <f t="shared" si="5"/>
        <v>37.581209395302345</v>
      </c>
    </row>
    <row r="355" spans="1:3" x14ac:dyDescent="0.3">
      <c r="A355">
        <v>1027.68</v>
      </c>
      <c r="B355">
        <v>357.73</v>
      </c>
      <c r="C355">
        <f t="shared" si="5"/>
        <v>34.809473766152891</v>
      </c>
    </row>
    <row r="356" spans="1:3" x14ac:dyDescent="0.3">
      <c r="A356">
        <v>894.4</v>
      </c>
      <c r="B356">
        <v>268.98</v>
      </c>
      <c r="C356">
        <f t="shared" si="5"/>
        <v>30.073792486583191</v>
      </c>
    </row>
    <row r="357" spans="1:3" x14ac:dyDescent="0.3">
      <c r="A357">
        <v>2109.83</v>
      </c>
      <c r="B357">
        <v>418.92</v>
      </c>
      <c r="C357">
        <f t="shared" si="5"/>
        <v>19.855628178573632</v>
      </c>
    </row>
    <row r="358" spans="1:3" x14ac:dyDescent="0.3">
      <c r="A358">
        <v>18.739999999999998</v>
      </c>
      <c r="B358">
        <v>2.74</v>
      </c>
      <c r="C358">
        <f t="shared" si="5"/>
        <v>14.621131270010675</v>
      </c>
    </row>
    <row r="359" spans="1:3" x14ac:dyDescent="0.3">
      <c r="A359">
        <v>979.29</v>
      </c>
      <c r="B359">
        <v>317.20999999999998</v>
      </c>
      <c r="C359">
        <f t="shared" si="5"/>
        <v>32.391834900795473</v>
      </c>
    </row>
    <row r="360" spans="1:3" x14ac:dyDescent="0.3">
      <c r="A360">
        <v>244.66</v>
      </c>
      <c r="B360">
        <v>72.42</v>
      </c>
      <c r="C360">
        <f t="shared" si="5"/>
        <v>29.600261587509198</v>
      </c>
    </row>
    <row r="361" spans="1:3" x14ac:dyDescent="0.3">
      <c r="A361">
        <v>1770.79</v>
      </c>
      <c r="B361">
        <v>539.51</v>
      </c>
      <c r="C361">
        <f t="shared" si="5"/>
        <v>30.467192608948551</v>
      </c>
    </row>
    <row r="362" spans="1:3" x14ac:dyDescent="0.3">
      <c r="A362">
        <v>1692.4</v>
      </c>
      <c r="B362">
        <v>453.81</v>
      </c>
      <c r="C362">
        <f t="shared" si="5"/>
        <v>26.814582840935948</v>
      </c>
    </row>
    <row r="363" spans="1:3" x14ac:dyDescent="0.3">
      <c r="A363">
        <v>57.15</v>
      </c>
      <c r="B363">
        <v>21.04</v>
      </c>
      <c r="C363">
        <f t="shared" si="5"/>
        <v>36.815398075240594</v>
      </c>
    </row>
    <row r="364" spans="1:3" x14ac:dyDescent="0.3">
      <c r="A364">
        <v>450.45</v>
      </c>
      <c r="B364">
        <v>120.46</v>
      </c>
      <c r="C364">
        <f t="shared" si="5"/>
        <v>26.742146742146744</v>
      </c>
    </row>
    <row r="365" spans="1:3" x14ac:dyDescent="0.3">
      <c r="A365">
        <v>1483.68</v>
      </c>
      <c r="B365">
        <v>438.18</v>
      </c>
      <c r="C365">
        <f t="shared" si="5"/>
        <v>29.533322549336781</v>
      </c>
    </row>
    <row r="366" spans="1:3" x14ac:dyDescent="0.3">
      <c r="A366">
        <v>257.52</v>
      </c>
      <c r="B366">
        <v>65.67</v>
      </c>
      <c r="C366">
        <f t="shared" si="5"/>
        <v>25.500931966449208</v>
      </c>
    </row>
    <row r="367" spans="1:3" x14ac:dyDescent="0.3">
      <c r="A367">
        <v>1336.5</v>
      </c>
      <c r="B367">
        <v>418.16</v>
      </c>
      <c r="C367">
        <f t="shared" si="5"/>
        <v>31.287691732136182</v>
      </c>
    </row>
    <row r="368" spans="1:3" x14ac:dyDescent="0.3">
      <c r="A368">
        <v>2510.2800000000002</v>
      </c>
      <c r="B368">
        <v>939.91</v>
      </c>
      <c r="C368">
        <f t="shared" si="5"/>
        <v>37.442436700288411</v>
      </c>
    </row>
    <row r="369" spans="1:3" x14ac:dyDescent="0.3">
      <c r="A369">
        <v>1679.04</v>
      </c>
      <c r="B369">
        <v>462.56</v>
      </c>
      <c r="C369">
        <f t="shared" si="5"/>
        <v>27.549075662283212</v>
      </c>
    </row>
    <row r="370" spans="1:3" x14ac:dyDescent="0.3">
      <c r="A370">
        <v>1689.52</v>
      </c>
      <c r="B370">
        <v>264.45999999999998</v>
      </c>
      <c r="C370">
        <f t="shared" si="5"/>
        <v>15.652966523036127</v>
      </c>
    </row>
    <row r="371" spans="1:3" x14ac:dyDescent="0.3">
      <c r="A371">
        <v>788.33</v>
      </c>
      <c r="B371">
        <v>110.52</v>
      </c>
      <c r="C371">
        <f t="shared" si="5"/>
        <v>14.019509596235077</v>
      </c>
    </row>
    <row r="372" spans="1:3" x14ac:dyDescent="0.3">
      <c r="A372">
        <v>918.72</v>
      </c>
      <c r="B372">
        <v>316.5</v>
      </c>
      <c r="C372">
        <f t="shared" si="5"/>
        <v>34.450104493207938</v>
      </c>
    </row>
    <row r="373" spans="1:3" x14ac:dyDescent="0.3">
      <c r="A373">
        <v>1423.38</v>
      </c>
      <c r="B373">
        <v>161.97999999999999</v>
      </c>
      <c r="C373">
        <f t="shared" si="5"/>
        <v>11.379954755581782</v>
      </c>
    </row>
    <row r="374" spans="1:3" x14ac:dyDescent="0.3">
      <c r="A374">
        <v>282.75</v>
      </c>
      <c r="B374">
        <v>36.25</v>
      </c>
      <c r="C374">
        <f t="shared" si="5"/>
        <v>12.820512820512819</v>
      </c>
    </row>
    <row r="375" spans="1:3" x14ac:dyDescent="0.3">
      <c r="A375">
        <v>939.5</v>
      </c>
      <c r="B375">
        <v>328.56</v>
      </c>
      <c r="C375">
        <f t="shared" si="5"/>
        <v>34.971793507184671</v>
      </c>
    </row>
    <row r="376" spans="1:3" x14ac:dyDescent="0.3">
      <c r="A376">
        <v>404</v>
      </c>
      <c r="B376">
        <v>65.25</v>
      </c>
      <c r="C376">
        <f t="shared" si="5"/>
        <v>16.150990099009903</v>
      </c>
    </row>
    <row r="377" spans="1:3" x14ac:dyDescent="0.3">
      <c r="A377">
        <v>956.45</v>
      </c>
      <c r="B377">
        <v>351.25</v>
      </c>
      <c r="C377">
        <f t="shared" si="5"/>
        <v>36.724345234983531</v>
      </c>
    </row>
    <row r="378" spans="1:3" x14ac:dyDescent="0.3">
      <c r="A378">
        <v>25.72</v>
      </c>
      <c r="B378">
        <v>3.68</v>
      </c>
      <c r="C378">
        <f t="shared" si="5"/>
        <v>14.307931570762053</v>
      </c>
    </row>
    <row r="379" spans="1:3" x14ac:dyDescent="0.3">
      <c r="A379">
        <v>2258.4</v>
      </c>
      <c r="B379">
        <v>734.96</v>
      </c>
      <c r="C379">
        <f t="shared" si="5"/>
        <v>32.543393552957845</v>
      </c>
    </row>
    <row r="380" spans="1:3" x14ac:dyDescent="0.3">
      <c r="A380">
        <v>1437.12</v>
      </c>
      <c r="B380">
        <v>446.98</v>
      </c>
      <c r="C380">
        <f t="shared" si="5"/>
        <v>31.102482743264311</v>
      </c>
    </row>
    <row r="381" spans="1:3" x14ac:dyDescent="0.3">
      <c r="A381">
        <v>428.16</v>
      </c>
      <c r="B381">
        <v>145.09</v>
      </c>
      <c r="C381">
        <f t="shared" si="5"/>
        <v>33.886864723467866</v>
      </c>
    </row>
    <row r="382" spans="1:3" x14ac:dyDescent="0.3">
      <c r="A382">
        <v>1479.6</v>
      </c>
      <c r="B382">
        <v>413.63</v>
      </c>
      <c r="C382">
        <f t="shared" si="5"/>
        <v>27.95552852122195</v>
      </c>
    </row>
    <row r="383" spans="1:3" x14ac:dyDescent="0.3">
      <c r="A383">
        <v>1017.36</v>
      </c>
      <c r="B383">
        <v>180.62</v>
      </c>
      <c r="C383">
        <f t="shared" si="5"/>
        <v>17.7537941338366</v>
      </c>
    </row>
    <row r="384" spans="1:3" x14ac:dyDescent="0.3">
      <c r="A384">
        <v>1417.26</v>
      </c>
      <c r="B384">
        <v>375.26</v>
      </c>
      <c r="C384">
        <f t="shared" si="5"/>
        <v>26.477851629200007</v>
      </c>
    </row>
    <row r="385" spans="1:3" x14ac:dyDescent="0.3">
      <c r="A385">
        <v>389.28</v>
      </c>
      <c r="B385">
        <v>118.95</v>
      </c>
      <c r="C385">
        <f t="shared" si="5"/>
        <v>30.556411837237977</v>
      </c>
    </row>
    <row r="386" spans="1:3" x14ac:dyDescent="0.3">
      <c r="A386">
        <v>891.2</v>
      </c>
      <c r="B386">
        <v>238.47</v>
      </c>
      <c r="C386">
        <f t="shared" si="5"/>
        <v>26.758303411131056</v>
      </c>
    </row>
    <row r="387" spans="1:3" x14ac:dyDescent="0.3">
      <c r="A387">
        <v>976.95</v>
      </c>
      <c r="B387">
        <v>351.6</v>
      </c>
      <c r="C387">
        <f t="shared" ref="C387:C450" si="6">B387/A387*100</f>
        <v>35.989559342852758</v>
      </c>
    </row>
    <row r="388" spans="1:3" x14ac:dyDescent="0.3">
      <c r="A388">
        <v>248.56</v>
      </c>
      <c r="B388">
        <v>37.590000000000003</v>
      </c>
      <c r="C388">
        <f t="shared" si="6"/>
        <v>15.123109108464758</v>
      </c>
    </row>
    <row r="389" spans="1:3" x14ac:dyDescent="0.3">
      <c r="A389">
        <v>1030.71</v>
      </c>
      <c r="B389">
        <v>360.47</v>
      </c>
      <c r="C389">
        <f t="shared" si="6"/>
        <v>34.972979790629758</v>
      </c>
    </row>
    <row r="390" spans="1:3" x14ac:dyDescent="0.3">
      <c r="A390">
        <v>987.16</v>
      </c>
      <c r="B390">
        <v>379.02</v>
      </c>
      <c r="C390">
        <f t="shared" si="6"/>
        <v>38.394991693342519</v>
      </c>
    </row>
    <row r="391" spans="1:3" x14ac:dyDescent="0.3">
      <c r="A391">
        <v>2119.5</v>
      </c>
      <c r="B391">
        <v>739.34</v>
      </c>
      <c r="C391">
        <f t="shared" si="6"/>
        <v>34.882755366831802</v>
      </c>
    </row>
    <row r="392" spans="1:3" x14ac:dyDescent="0.3">
      <c r="A392">
        <v>116.64</v>
      </c>
      <c r="B392">
        <v>37.65</v>
      </c>
      <c r="C392">
        <f t="shared" si="6"/>
        <v>32.278806584362144</v>
      </c>
    </row>
    <row r="393" spans="1:3" x14ac:dyDescent="0.3">
      <c r="A393">
        <v>1901.54</v>
      </c>
      <c r="B393">
        <v>669.11</v>
      </c>
      <c r="C393">
        <f t="shared" si="6"/>
        <v>35.18779515550554</v>
      </c>
    </row>
    <row r="394" spans="1:3" x14ac:dyDescent="0.3">
      <c r="A394">
        <v>658.5</v>
      </c>
      <c r="B394">
        <v>247.02</v>
      </c>
      <c r="C394">
        <f t="shared" si="6"/>
        <v>37.512528473804103</v>
      </c>
    </row>
    <row r="395" spans="1:3" x14ac:dyDescent="0.3">
      <c r="A395">
        <v>82.12</v>
      </c>
      <c r="B395">
        <v>27.07</v>
      </c>
      <c r="C395">
        <f t="shared" si="6"/>
        <v>32.963955187530445</v>
      </c>
    </row>
    <row r="396" spans="1:3" x14ac:dyDescent="0.3">
      <c r="A396">
        <v>148.19999999999999</v>
      </c>
      <c r="B396">
        <v>24.44</v>
      </c>
      <c r="C396">
        <f t="shared" si="6"/>
        <v>16.491228070175438</v>
      </c>
    </row>
    <row r="397" spans="1:3" x14ac:dyDescent="0.3">
      <c r="A397">
        <v>364.23</v>
      </c>
      <c r="B397">
        <v>106.82</v>
      </c>
      <c r="C397">
        <f t="shared" si="6"/>
        <v>29.32762265601405</v>
      </c>
    </row>
    <row r="398" spans="1:3" x14ac:dyDescent="0.3">
      <c r="A398">
        <v>110.56</v>
      </c>
      <c r="B398">
        <v>25.19</v>
      </c>
      <c r="C398">
        <f t="shared" si="6"/>
        <v>22.78400868306802</v>
      </c>
    </row>
    <row r="399" spans="1:3" x14ac:dyDescent="0.3">
      <c r="A399">
        <v>2151.59</v>
      </c>
      <c r="B399">
        <v>863.04</v>
      </c>
      <c r="C399">
        <f t="shared" si="6"/>
        <v>40.111731324276462</v>
      </c>
    </row>
    <row r="400" spans="1:3" x14ac:dyDescent="0.3">
      <c r="A400">
        <v>1213.3599999999999</v>
      </c>
      <c r="B400">
        <v>431.53</v>
      </c>
      <c r="C400">
        <f t="shared" si="6"/>
        <v>35.564877694995715</v>
      </c>
    </row>
    <row r="401" spans="1:3" x14ac:dyDescent="0.3">
      <c r="A401">
        <v>1178.6300000000001</v>
      </c>
      <c r="B401">
        <v>456.31</v>
      </c>
      <c r="C401">
        <f t="shared" si="6"/>
        <v>38.715288088713166</v>
      </c>
    </row>
    <row r="402" spans="1:3" x14ac:dyDescent="0.3">
      <c r="A402">
        <v>891.52</v>
      </c>
      <c r="B402">
        <v>277.27999999999997</v>
      </c>
      <c r="C402">
        <f t="shared" si="6"/>
        <v>31.10193826274228</v>
      </c>
    </row>
    <row r="403" spans="1:3" x14ac:dyDescent="0.3">
      <c r="A403">
        <v>1505.28</v>
      </c>
      <c r="B403">
        <v>394.63</v>
      </c>
      <c r="C403">
        <f t="shared" si="6"/>
        <v>26.2163849914966</v>
      </c>
    </row>
    <row r="404" spans="1:3" x14ac:dyDescent="0.3">
      <c r="A404">
        <v>672.1</v>
      </c>
      <c r="B404">
        <v>130.30000000000001</v>
      </c>
      <c r="C404">
        <f t="shared" si="6"/>
        <v>19.386995982740665</v>
      </c>
    </row>
    <row r="405" spans="1:3" x14ac:dyDescent="0.3">
      <c r="A405">
        <v>587.08000000000004</v>
      </c>
      <c r="B405">
        <v>193.4</v>
      </c>
      <c r="C405">
        <f t="shared" si="6"/>
        <v>32.942699461742862</v>
      </c>
    </row>
    <row r="406" spans="1:3" x14ac:dyDescent="0.3">
      <c r="A406">
        <v>1809.2</v>
      </c>
      <c r="B406">
        <v>272.95</v>
      </c>
      <c r="C406">
        <f t="shared" si="6"/>
        <v>15.086778686712357</v>
      </c>
    </row>
    <row r="407" spans="1:3" x14ac:dyDescent="0.3">
      <c r="A407">
        <v>933.98</v>
      </c>
      <c r="B407">
        <v>157.61000000000001</v>
      </c>
      <c r="C407">
        <f t="shared" si="6"/>
        <v>16.875093685089617</v>
      </c>
    </row>
    <row r="408" spans="1:3" x14ac:dyDescent="0.3">
      <c r="A408">
        <v>823.14</v>
      </c>
      <c r="B408">
        <v>237.89</v>
      </c>
      <c r="C408">
        <f t="shared" si="6"/>
        <v>28.900308574483073</v>
      </c>
    </row>
    <row r="409" spans="1:3" x14ac:dyDescent="0.3">
      <c r="A409">
        <v>1593.44</v>
      </c>
      <c r="B409">
        <v>627.51</v>
      </c>
      <c r="C409">
        <f t="shared" si="6"/>
        <v>39.380836429360379</v>
      </c>
    </row>
    <row r="410" spans="1:3" x14ac:dyDescent="0.3">
      <c r="A410">
        <v>270.60000000000002</v>
      </c>
      <c r="B410">
        <v>55.25</v>
      </c>
      <c r="C410">
        <f t="shared" si="6"/>
        <v>20.417590539541759</v>
      </c>
    </row>
    <row r="411" spans="1:3" x14ac:dyDescent="0.3">
      <c r="A411">
        <v>305.14</v>
      </c>
      <c r="B411">
        <v>96.33</v>
      </c>
      <c r="C411">
        <f t="shared" si="6"/>
        <v>31.569115815691156</v>
      </c>
    </row>
    <row r="412" spans="1:3" x14ac:dyDescent="0.3">
      <c r="A412">
        <v>1104.32</v>
      </c>
      <c r="B412">
        <v>266.69</v>
      </c>
      <c r="C412">
        <f t="shared" si="6"/>
        <v>24.149702984642136</v>
      </c>
    </row>
    <row r="413" spans="1:3" x14ac:dyDescent="0.3">
      <c r="A413">
        <v>785.7</v>
      </c>
      <c r="B413">
        <v>227.18</v>
      </c>
      <c r="C413">
        <f t="shared" si="6"/>
        <v>28.914343897161764</v>
      </c>
    </row>
    <row r="414" spans="1:3" x14ac:dyDescent="0.3">
      <c r="A414">
        <v>2546.5300000000002</v>
      </c>
      <c r="B414">
        <v>719.27</v>
      </c>
      <c r="C414">
        <f t="shared" si="6"/>
        <v>28.245102158623691</v>
      </c>
    </row>
    <row r="415" spans="1:3" x14ac:dyDescent="0.3">
      <c r="A415">
        <v>479.05</v>
      </c>
      <c r="B415">
        <v>143.9</v>
      </c>
      <c r="C415">
        <f t="shared" si="6"/>
        <v>30.038618098319592</v>
      </c>
    </row>
    <row r="416" spans="1:3" x14ac:dyDescent="0.3">
      <c r="A416">
        <v>1271.1600000000001</v>
      </c>
      <c r="B416">
        <v>133.69999999999999</v>
      </c>
      <c r="C416">
        <f t="shared" si="6"/>
        <v>10.517952106737152</v>
      </c>
    </row>
    <row r="417" spans="1:3" x14ac:dyDescent="0.3">
      <c r="A417">
        <v>1106.18</v>
      </c>
      <c r="B417">
        <v>418.91</v>
      </c>
      <c r="C417">
        <f t="shared" si="6"/>
        <v>37.86996691316061</v>
      </c>
    </row>
    <row r="418" spans="1:3" x14ac:dyDescent="0.3">
      <c r="A418">
        <v>94.24</v>
      </c>
      <c r="B418">
        <v>25.21</v>
      </c>
      <c r="C418">
        <f t="shared" si="6"/>
        <v>26.750848896434636</v>
      </c>
    </row>
    <row r="419" spans="1:3" x14ac:dyDescent="0.3">
      <c r="A419">
        <v>971.38</v>
      </c>
      <c r="B419">
        <v>357.37</v>
      </c>
      <c r="C419">
        <f t="shared" si="6"/>
        <v>36.789927731680706</v>
      </c>
    </row>
    <row r="420" spans="1:3" x14ac:dyDescent="0.3">
      <c r="A420">
        <v>1678.16</v>
      </c>
      <c r="B420">
        <v>453.67</v>
      </c>
      <c r="C420">
        <f t="shared" si="6"/>
        <v>27.033775087000045</v>
      </c>
    </row>
    <row r="421" spans="1:3" x14ac:dyDescent="0.3">
      <c r="A421">
        <v>336</v>
      </c>
      <c r="B421">
        <v>61.12</v>
      </c>
      <c r="C421">
        <f t="shared" si="6"/>
        <v>18.19047619047619</v>
      </c>
    </row>
    <row r="422" spans="1:3" x14ac:dyDescent="0.3">
      <c r="A422">
        <v>1345.5</v>
      </c>
      <c r="B422">
        <v>478.8</v>
      </c>
      <c r="C422">
        <f t="shared" si="6"/>
        <v>35.585284280936456</v>
      </c>
    </row>
    <row r="423" spans="1:3" x14ac:dyDescent="0.3">
      <c r="A423">
        <v>415.87</v>
      </c>
      <c r="B423">
        <v>110.36</v>
      </c>
      <c r="C423">
        <f t="shared" si="6"/>
        <v>26.537139009786713</v>
      </c>
    </row>
    <row r="424" spans="1:3" x14ac:dyDescent="0.3">
      <c r="A424">
        <v>1790.88</v>
      </c>
      <c r="B424">
        <v>523.42999999999995</v>
      </c>
      <c r="C424">
        <f t="shared" si="6"/>
        <v>29.227530599481817</v>
      </c>
    </row>
    <row r="425" spans="1:3" x14ac:dyDescent="0.3">
      <c r="A425">
        <v>2010.58</v>
      </c>
      <c r="B425">
        <v>396.36</v>
      </c>
      <c r="C425">
        <f t="shared" si="6"/>
        <v>19.713714450556559</v>
      </c>
    </row>
    <row r="426" spans="1:3" x14ac:dyDescent="0.3">
      <c r="A426">
        <v>379.26</v>
      </c>
      <c r="B426">
        <v>112.84</v>
      </c>
      <c r="C426">
        <f t="shared" si="6"/>
        <v>29.752676264304174</v>
      </c>
    </row>
    <row r="427" spans="1:3" x14ac:dyDescent="0.3">
      <c r="A427">
        <v>1251.32</v>
      </c>
      <c r="B427">
        <v>271.94</v>
      </c>
      <c r="C427">
        <f t="shared" si="6"/>
        <v>21.732250743215165</v>
      </c>
    </row>
    <row r="428" spans="1:3" x14ac:dyDescent="0.3">
      <c r="A428">
        <v>941.62</v>
      </c>
      <c r="B428">
        <v>225.96</v>
      </c>
      <c r="C428">
        <f t="shared" si="6"/>
        <v>23.996941441345768</v>
      </c>
    </row>
    <row r="429" spans="1:3" x14ac:dyDescent="0.3">
      <c r="A429">
        <v>1420.18</v>
      </c>
      <c r="B429">
        <v>355.73</v>
      </c>
      <c r="C429">
        <f t="shared" si="6"/>
        <v>25.048233322536579</v>
      </c>
    </row>
    <row r="430" spans="1:3" x14ac:dyDescent="0.3">
      <c r="A430">
        <v>2239.36</v>
      </c>
      <c r="B430">
        <v>825.85</v>
      </c>
      <c r="C430">
        <f t="shared" si="6"/>
        <v>36.878840382966558</v>
      </c>
    </row>
    <row r="431" spans="1:3" x14ac:dyDescent="0.3">
      <c r="A431">
        <v>1072.75</v>
      </c>
      <c r="B431">
        <v>117.73</v>
      </c>
      <c r="C431">
        <f t="shared" si="6"/>
        <v>10.974597995805174</v>
      </c>
    </row>
    <row r="432" spans="1:3" x14ac:dyDescent="0.3">
      <c r="A432">
        <v>158.19999999999999</v>
      </c>
      <c r="B432">
        <v>61.91</v>
      </c>
      <c r="C432">
        <f t="shared" si="6"/>
        <v>39.13400758533502</v>
      </c>
    </row>
    <row r="433" spans="1:3" x14ac:dyDescent="0.3">
      <c r="A433">
        <v>936</v>
      </c>
      <c r="B433">
        <v>253.93</v>
      </c>
      <c r="C433">
        <f t="shared" si="6"/>
        <v>27.129273504273506</v>
      </c>
    </row>
    <row r="434" spans="1:3" x14ac:dyDescent="0.3">
      <c r="A434">
        <v>1599.04</v>
      </c>
      <c r="B434">
        <v>275.94</v>
      </c>
      <c r="C434">
        <f t="shared" si="6"/>
        <v>17.256603962377426</v>
      </c>
    </row>
    <row r="435" spans="1:3" x14ac:dyDescent="0.3">
      <c r="A435">
        <v>1050.42</v>
      </c>
      <c r="B435">
        <v>335.72</v>
      </c>
      <c r="C435">
        <f t="shared" si="6"/>
        <v>31.960549113687858</v>
      </c>
    </row>
    <row r="436" spans="1:3" x14ac:dyDescent="0.3">
      <c r="A436">
        <v>771.88</v>
      </c>
      <c r="B436">
        <v>167.34</v>
      </c>
      <c r="C436">
        <f t="shared" si="6"/>
        <v>21.679535679121106</v>
      </c>
    </row>
    <row r="437" spans="1:3" x14ac:dyDescent="0.3">
      <c r="A437">
        <v>674.88</v>
      </c>
      <c r="B437">
        <v>143.78</v>
      </c>
      <c r="C437">
        <f t="shared" si="6"/>
        <v>21.304528212422948</v>
      </c>
    </row>
    <row r="438" spans="1:3" x14ac:dyDescent="0.3">
      <c r="A438">
        <v>419.64</v>
      </c>
      <c r="B438">
        <v>91.16</v>
      </c>
      <c r="C438">
        <f t="shared" si="6"/>
        <v>21.723381946430273</v>
      </c>
    </row>
    <row r="439" spans="1:3" x14ac:dyDescent="0.3">
      <c r="A439">
        <v>1042.22</v>
      </c>
      <c r="B439">
        <v>395.89</v>
      </c>
      <c r="C439">
        <f t="shared" si="6"/>
        <v>37.985262228704109</v>
      </c>
    </row>
    <row r="440" spans="1:3" x14ac:dyDescent="0.3">
      <c r="A440">
        <v>1222.4000000000001</v>
      </c>
      <c r="B440">
        <v>295.98</v>
      </c>
      <c r="C440">
        <f t="shared" si="6"/>
        <v>24.213023560209422</v>
      </c>
    </row>
    <row r="441" spans="1:3" x14ac:dyDescent="0.3">
      <c r="A441">
        <v>928.95</v>
      </c>
      <c r="B441">
        <v>378.27</v>
      </c>
      <c r="C441">
        <f t="shared" si="6"/>
        <v>40.720167931535599</v>
      </c>
    </row>
    <row r="442" spans="1:3" x14ac:dyDescent="0.3">
      <c r="A442">
        <v>715.4</v>
      </c>
      <c r="B442">
        <v>276.17</v>
      </c>
      <c r="C442">
        <f t="shared" si="6"/>
        <v>38.603578417668437</v>
      </c>
    </row>
    <row r="443" spans="1:3" x14ac:dyDescent="0.3">
      <c r="A443">
        <v>472.08</v>
      </c>
      <c r="B443">
        <v>191.37</v>
      </c>
      <c r="C443">
        <f t="shared" si="6"/>
        <v>40.537620742247078</v>
      </c>
    </row>
    <row r="444" spans="1:3" x14ac:dyDescent="0.3">
      <c r="A444">
        <v>220.24</v>
      </c>
      <c r="B444">
        <v>63.58</v>
      </c>
      <c r="C444">
        <f t="shared" si="6"/>
        <v>28.868507083181981</v>
      </c>
    </row>
    <row r="445" spans="1:3" x14ac:dyDescent="0.3">
      <c r="A445">
        <v>1387.75</v>
      </c>
      <c r="B445">
        <v>539.29999999999995</v>
      </c>
      <c r="C445">
        <f t="shared" si="6"/>
        <v>38.861466402450006</v>
      </c>
    </row>
    <row r="446" spans="1:3" x14ac:dyDescent="0.3">
      <c r="A446">
        <v>1184</v>
      </c>
      <c r="B446">
        <v>362.38</v>
      </c>
      <c r="C446">
        <f t="shared" si="6"/>
        <v>30.606418918918919</v>
      </c>
    </row>
    <row r="447" spans="1:3" x14ac:dyDescent="0.3">
      <c r="A447">
        <v>99.05</v>
      </c>
      <c r="B447">
        <v>29.39</v>
      </c>
      <c r="C447">
        <f t="shared" si="6"/>
        <v>29.671882887430591</v>
      </c>
    </row>
    <row r="448" spans="1:3" x14ac:dyDescent="0.3">
      <c r="A448">
        <v>486.81</v>
      </c>
      <c r="B448">
        <v>105.93</v>
      </c>
      <c r="C448">
        <f t="shared" si="6"/>
        <v>21.760029580329082</v>
      </c>
    </row>
    <row r="449" spans="1:3" x14ac:dyDescent="0.3">
      <c r="A449">
        <v>1211.8499999999999</v>
      </c>
      <c r="B449">
        <v>339</v>
      </c>
      <c r="C449">
        <f t="shared" si="6"/>
        <v>27.973759128605032</v>
      </c>
    </row>
    <row r="450" spans="1:3" x14ac:dyDescent="0.3">
      <c r="A450">
        <v>1301.5999999999999</v>
      </c>
      <c r="B450">
        <v>454.54</v>
      </c>
      <c r="C450">
        <f t="shared" si="6"/>
        <v>34.921634910878922</v>
      </c>
    </row>
    <row r="451" spans="1:3" x14ac:dyDescent="0.3">
      <c r="A451">
        <v>918.32</v>
      </c>
      <c r="B451">
        <v>273.3</v>
      </c>
      <c r="C451">
        <f t="shared" ref="C451:C501" si="7">B451/A451*100</f>
        <v>29.76086767139995</v>
      </c>
    </row>
    <row r="452" spans="1:3" x14ac:dyDescent="0.3">
      <c r="A452">
        <v>263.04000000000002</v>
      </c>
      <c r="B452">
        <v>41.4</v>
      </c>
      <c r="C452">
        <f t="shared" si="7"/>
        <v>15.73905109489051</v>
      </c>
    </row>
    <row r="453" spans="1:3" x14ac:dyDescent="0.3">
      <c r="A453">
        <v>1804.53</v>
      </c>
      <c r="B453">
        <v>673.96</v>
      </c>
      <c r="C453">
        <f t="shared" si="7"/>
        <v>37.348229178788941</v>
      </c>
    </row>
    <row r="454" spans="1:3" x14ac:dyDescent="0.3">
      <c r="A454">
        <v>498.3</v>
      </c>
      <c r="B454">
        <v>86.45</v>
      </c>
      <c r="C454">
        <f t="shared" si="7"/>
        <v>17.348986554284568</v>
      </c>
    </row>
    <row r="455" spans="1:3" x14ac:dyDescent="0.3">
      <c r="A455">
        <v>2485.6999999999998</v>
      </c>
      <c r="B455">
        <v>948.48</v>
      </c>
      <c r="C455">
        <f t="shared" si="7"/>
        <v>38.157460675061358</v>
      </c>
    </row>
    <row r="456" spans="1:3" x14ac:dyDescent="0.3">
      <c r="A456">
        <v>84.62</v>
      </c>
      <c r="B456">
        <v>24.34</v>
      </c>
      <c r="C456">
        <f t="shared" si="7"/>
        <v>28.763885606239658</v>
      </c>
    </row>
    <row r="457" spans="1:3" x14ac:dyDescent="0.3">
      <c r="A457">
        <v>330.88</v>
      </c>
      <c r="B457">
        <v>119.1</v>
      </c>
      <c r="C457">
        <f t="shared" si="7"/>
        <v>35.994922630560929</v>
      </c>
    </row>
    <row r="458" spans="1:3" x14ac:dyDescent="0.3">
      <c r="A458">
        <v>94.17</v>
      </c>
      <c r="B458">
        <v>37.65</v>
      </c>
      <c r="C458">
        <f t="shared" si="7"/>
        <v>39.980885632366991</v>
      </c>
    </row>
    <row r="459" spans="1:3" x14ac:dyDescent="0.3">
      <c r="A459">
        <v>1613.28</v>
      </c>
      <c r="B459">
        <v>423.36</v>
      </c>
      <c r="C459">
        <f t="shared" si="7"/>
        <v>26.242189824457007</v>
      </c>
    </row>
    <row r="460" spans="1:3" x14ac:dyDescent="0.3">
      <c r="A460">
        <v>452.61</v>
      </c>
      <c r="B460">
        <v>131.68</v>
      </c>
      <c r="C460">
        <f t="shared" si="7"/>
        <v>29.093480038001811</v>
      </c>
    </row>
    <row r="461" spans="1:3" x14ac:dyDescent="0.3">
      <c r="A461">
        <v>419.52</v>
      </c>
      <c r="B461">
        <v>134.09</v>
      </c>
      <c r="C461">
        <f t="shared" si="7"/>
        <v>31.962719298245617</v>
      </c>
    </row>
    <row r="462" spans="1:3" x14ac:dyDescent="0.3">
      <c r="A462">
        <v>1528.88</v>
      </c>
      <c r="B462">
        <v>416.97</v>
      </c>
      <c r="C462">
        <f t="shared" si="7"/>
        <v>27.272905656428236</v>
      </c>
    </row>
    <row r="463" spans="1:3" x14ac:dyDescent="0.3">
      <c r="A463">
        <v>865.02</v>
      </c>
      <c r="B463">
        <v>234.29</v>
      </c>
      <c r="C463">
        <f t="shared" si="7"/>
        <v>27.084922891956253</v>
      </c>
    </row>
    <row r="464" spans="1:3" x14ac:dyDescent="0.3">
      <c r="A464">
        <v>235.4</v>
      </c>
      <c r="B464">
        <v>53.26</v>
      </c>
      <c r="C464">
        <f t="shared" si="7"/>
        <v>22.625318606627015</v>
      </c>
    </row>
    <row r="465" spans="1:3" x14ac:dyDescent="0.3">
      <c r="A465">
        <v>761.46</v>
      </c>
      <c r="B465">
        <v>179.47</v>
      </c>
      <c r="C465">
        <f t="shared" si="7"/>
        <v>23.56919601817561</v>
      </c>
    </row>
    <row r="466" spans="1:3" x14ac:dyDescent="0.3">
      <c r="A466">
        <v>1380.99</v>
      </c>
      <c r="B466">
        <v>418.93</v>
      </c>
      <c r="C466">
        <f t="shared" si="7"/>
        <v>30.33548396440235</v>
      </c>
    </row>
    <row r="467" spans="1:3" x14ac:dyDescent="0.3">
      <c r="A467">
        <v>355.55</v>
      </c>
      <c r="B467">
        <v>95.32</v>
      </c>
      <c r="C467">
        <f t="shared" si="7"/>
        <v>26.809168893263958</v>
      </c>
    </row>
    <row r="468" spans="1:3" x14ac:dyDescent="0.3">
      <c r="A468">
        <v>843.2</v>
      </c>
      <c r="B468">
        <v>266.39</v>
      </c>
      <c r="C468">
        <f t="shared" si="7"/>
        <v>31.592741935483872</v>
      </c>
    </row>
    <row r="469" spans="1:3" x14ac:dyDescent="0.3">
      <c r="A469">
        <v>1294.3800000000001</v>
      </c>
      <c r="B469">
        <v>503.1</v>
      </c>
      <c r="C469">
        <f t="shared" si="7"/>
        <v>38.868029481296062</v>
      </c>
    </row>
    <row r="470" spans="1:3" x14ac:dyDescent="0.3">
      <c r="A470">
        <v>721.28</v>
      </c>
      <c r="B470">
        <v>187.67</v>
      </c>
      <c r="C470">
        <f t="shared" si="7"/>
        <v>26.019021739130434</v>
      </c>
    </row>
    <row r="471" spans="1:3" x14ac:dyDescent="0.3">
      <c r="A471">
        <v>1228.4000000000001</v>
      </c>
      <c r="B471">
        <v>354.56</v>
      </c>
      <c r="C471">
        <f t="shared" si="7"/>
        <v>28.863562357538257</v>
      </c>
    </row>
    <row r="472" spans="1:3" x14ac:dyDescent="0.3">
      <c r="A472">
        <v>218.48</v>
      </c>
      <c r="B472">
        <v>64.97</v>
      </c>
      <c r="C472">
        <f t="shared" si="7"/>
        <v>29.737275723178325</v>
      </c>
    </row>
    <row r="473" spans="1:3" x14ac:dyDescent="0.3">
      <c r="A473">
        <v>553.66</v>
      </c>
      <c r="B473">
        <v>191.96</v>
      </c>
      <c r="C473">
        <f t="shared" si="7"/>
        <v>34.671097785644619</v>
      </c>
    </row>
    <row r="474" spans="1:3" x14ac:dyDescent="0.3">
      <c r="A474">
        <v>332.46</v>
      </c>
      <c r="B474">
        <v>106.89</v>
      </c>
      <c r="C474">
        <f t="shared" si="7"/>
        <v>32.151236238946041</v>
      </c>
    </row>
    <row r="475" spans="1:3" x14ac:dyDescent="0.3">
      <c r="A475">
        <v>1395.36</v>
      </c>
      <c r="B475">
        <v>460.98</v>
      </c>
      <c r="C475">
        <f t="shared" si="7"/>
        <v>33.036635706914346</v>
      </c>
    </row>
    <row r="476" spans="1:3" x14ac:dyDescent="0.3">
      <c r="A476">
        <v>706.42</v>
      </c>
      <c r="B476">
        <v>87.48</v>
      </c>
      <c r="C476">
        <f t="shared" si="7"/>
        <v>12.383567849154895</v>
      </c>
    </row>
    <row r="477" spans="1:3" x14ac:dyDescent="0.3">
      <c r="A477">
        <v>438.84</v>
      </c>
      <c r="B477">
        <v>106.93</v>
      </c>
      <c r="C477">
        <f t="shared" si="7"/>
        <v>24.366511712697115</v>
      </c>
    </row>
    <row r="478" spans="1:3" x14ac:dyDescent="0.3">
      <c r="A478">
        <v>1228.77</v>
      </c>
      <c r="B478">
        <v>300.14999999999998</v>
      </c>
      <c r="C478">
        <f t="shared" si="7"/>
        <v>24.426865890280521</v>
      </c>
    </row>
    <row r="479" spans="1:3" x14ac:dyDescent="0.3">
      <c r="A479">
        <v>479.66</v>
      </c>
      <c r="B479">
        <v>79.680000000000007</v>
      </c>
      <c r="C479">
        <f t="shared" si="7"/>
        <v>16.611766668056539</v>
      </c>
    </row>
    <row r="480" spans="1:3" x14ac:dyDescent="0.3">
      <c r="A480">
        <v>490.16</v>
      </c>
      <c r="B480">
        <v>191.19</v>
      </c>
      <c r="C480">
        <f t="shared" si="7"/>
        <v>39.005630814427938</v>
      </c>
    </row>
    <row r="481" spans="1:3" x14ac:dyDescent="0.3">
      <c r="A481">
        <v>2239</v>
      </c>
      <c r="B481">
        <v>469.03</v>
      </c>
      <c r="C481">
        <f t="shared" si="7"/>
        <v>20.948191156766413</v>
      </c>
    </row>
    <row r="482" spans="1:3" x14ac:dyDescent="0.3">
      <c r="A482">
        <v>675.3</v>
      </c>
      <c r="B482">
        <v>109.04</v>
      </c>
      <c r="C482">
        <f t="shared" si="7"/>
        <v>16.146897675107361</v>
      </c>
    </row>
    <row r="483" spans="1:3" x14ac:dyDescent="0.3">
      <c r="A483">
        <v>1359</v>
      </c>
      <c r="B483">
        <v>538.33000000000004</v>
      </c>
      <c r="C483">
        <f t="shared" si="7"/>
        <v>39.612214863870499</v>
      </c>
    </row>
    <row r="484" spans="1:3" x14ac:dyDescent="0.3">
      <c r="A484">
        <v>1050.28</v>
      </c>
      <c r="B484">
        <v>220.45</v>
      </c>
      <c r="C484">
        <f t="shared" si="7"/>
        <v>20.989640857676047</v>
      </c>
    </row>
    <row r="485" spans="1:3" x14ac:dyDescent="0.3">
      <c r="A485">
        <v>2685.5</v>
      </c>
      <c r="B485">
        <v>487.61</v>
      </c>
      <c r="C485">
        <f t="shared" si="7"/>
        <v>18.157140197356174</v>
      </c>
    </row>
    <row r="486" spans="1:3" x14ac:dyDescent="0.3">
      <c r="A486">
        <v>446.88</v>
      </c>
      <c r="B486">
        <v>47.97</v>
      </c>
      <c r="C486">
        <f t="shared" si="7"/>
        <v>10.734425349087003</v>
      </c>
    </row>
    <row r="487" spans="1:3" x14ac:dyDescent="0.3">
      <c r="A487">
        <v>491.5</v>
      </c>
      <c r="B487">
        <v>78.2</v>
      </c>
      <c r="C487">
        <f t="shared" si="7"/>
        <v>15.910478128179045</v>
      </c>
    </row>
    <row r="488" spans="1:3" x14ac:dyDescent="0.3">
      <c r="A488">
        <v>2140.3200000000002</v>
      </c>
      <c r="B488">
        <v>332.47</v>
      </c>
      <c r="C488">
        <f t="shared" si="7"/>
        <v>15.533658518352397</v>
      </c>
    </row>
    <row r="489" spans="1:3" x14ac:dyDescent="0.3">
      <c r="A489">
        <v>1460.94</v>
      </c>
      <c r="B489">
        <v>403.69</v>
      </c>
      <c r="C489">
        <f t="shared" si="7"/>
        <v>27.632209399427765</v>
      </c>
    </row>
    <row r="490" spans="1:3" x14ac:dyDescent="0.3">
      <c r="A490">
        <v>141.4</v>
      </c>
      <c r="B490">
        <v>47.8</v>
      </c>
      <c r="C490">
        <f t="shared" si="7"/>
        <v>33.804809052333802</v>
      </c>
    </row>
    <row r="491" spans="1:3" x14ac:dyDescent="0.3">
      <c r="A491">
        <v>335.34</v>
      </c>
      <c r="B491">
        <v>79.66</v>
      </c>
      <c r="C491">
        <f t="shared" si="7"/>
        <v>23.754994930518279</v>
      </c>
    </row>
    <row r="492" spans="1:3" x14ac:dyDescent="0.3">
      <c r="A492">
        <v>324.95999999999998</v>
      </c>
      <c r="B492">
        <v>39.369999999999997</v>
      </c>
      <c r="C492">
        <f t="shared" si="7"/>
        <v>12.115337272279666</v>
      </c>
    </row>
    <row r="493" spans="1:3" x14ac:dyDescent="0.3">
      <c r="A493">
        <v>1610.5</v>
      </c>
      <c r="B493">
        <v>327.82</v>
      </c>
      <c r="C493">
        <f t="shared" si="7"/>
        <v>20.355169202111146</v>
      </c>
    </row>
    <row r="494" spans="1:3" x14ac:dyDescent="0.3">
      <c r="A494">
        <v>1008.91</v>
      </c>
      <c r="B494">
        <v>306.13</v>
      </c>
      <c r="C494">
        <f t="shared" si="7"/>
        <v>30.342647015095498</v>
      </c>
    </row>
    <row r="495" spans="1:3" x14ac:dyDescent="0.3">
      <c r="A495">
        <v>629.86</v>
      </c>
      <c r="B495">
        <v>160.78</v>
      </c>
      <c r="C495">
        <f t="shared" si="7"/>
        <v>25.5263074333979</v>
      </c>
    </row>
    <row r="496" spans="1:3" x14ac:dyDescent="0.3">
      <c r="A496">
        <v>617.32000000000005</v>
      </c>
      <c r="B496">
        <v>139.06</v>
      </c>
      <c r="C496">
        <f t="shared" si="7"/>
        <v>22.526404457979652</v>
      </c>
    </row>
    <row r="497" spans="1:3" x14ac:dyDescent="0.3">
      <c r="A497">
        <v>61.76</v>
      </c>
      <c r="B497">
        <v>7.34</v>
      </c>
      <c r="C497">
        <f t="shared" si="7"/>
        <v>11.884715025906736</v>
      </c>
    </row>
    <row r="498" spans="1:3" x14ac:dyDescent="0.3">
      <c r="A498">
        <v>2169.1999999999998</v>
      </c>
      <c r="B498">
        <v>739.55</v>
      </c>
      <c r="C498">
        <f t="shared" si="7"/>
        <v>34.093214088143093</v>
      </c>
    </row>
    <row r="499" spans="1:3" x14ac:dyDescent="0.3">
      <c r="A499">
        <v>2230.5</v>
      </c>
      <c r="B499">
        <v>739.18</v>
      </c>
      <c r="C499">
        <f t="shared" si="7"/>
        <v>33.139654785922431</v>
      </c>
    </row>
    <row r="500" spans="1:3" x14ac:dyDescent="0.3">
      <c r="A500">
        <v>260.54000000000002</v>
      </c>
      <c r="B500">
        <v>76.650000000000006</v>
      </c>
      <c r="C500">
        <f t="shared" si="7"/>
        <v>29.41966684578184</v>
      </c>
    </row>
    <row r="501" spans="1:3" x14ac:dyDescent="0.3">
      <c r="A501">
        <v>172.27</v>
      </c>
      <c r="B501">
        <v>54.13</v>
      </c>
      <c r="C501">
        <f t="shared" si="7"/>
        <v>31.421605619086318</v>
      </c>
    </row>
  </sheetData>
  <dataValidations count="1">
    <dataValidation type="decimal" allowBlank="1" showInputMessage="1" showErrorMessage="1" sqref="C1:C1048576 N15 P15 S8 O14 S13 O16 O20" xr:uid="{B2E3FB71-44E5-4D13-BA69-8B309B49E93A}">
      <formula1>10</formula1>
      <formula2>20</formula2>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FE7A6-4AE9-4E1D-9D56-344FADB6F10C}">
  <dimension ref="A1:N14"/>
  <sheetViews>
    <sheetView workbookViewId="0">
      <selection activeCell="M16" sqref="M16"/>
    </sheetView>
  </sheetViews>
  <sheetFormatPr defaultRowHeight="14.4" x14ac:dyDescent="0.3"/>
  <cols>
    <col min="2" max="2" width="16.109375" bestFit="1" customWidth="1"/>
    <col min="3" max="3" width="11.21875" bestFit="1" customWidth="1"/>
    <col min="4" max="4" width="13.21875" bestFit="1" customWidth="1"/>
    <col min="5" max="5" width="13.88671875" bestFit="1" customWidth="1"/>
    <col min="6" max="6" width="9.21875" bestFit="1" customWidth="1"/>
    <col min="11" max="11" width="12.109375" bestFit="1" customWidth="1"/>
    <col min="12" max="12" width="12.88671875" bestFit="1" customWidth="1"/>
    <col min="13" max="13" width="9.33203125" bestFit="1" customWidth="1"/>
    <col min="14" max="14" width="12.44140625" bestFit="1" customWidth="1"/>
  </cols>
  <sheetData>
    <row r="1" spans="1:14" x14ac:dyDescent="0.3">
      <c r="A1" s="11" t="s">
        <v>970</v>
      </c>
      <c r="B1" s="11" t="s">
        <v>4</v>
      </c>
      <c r="C1" s="11" t="s">
        <v>5</v>
      </c>
      <c r="D1" s="11" t="s">
        <v>971</v>
      </c>
      <c r="E1" s="11" t="s">
        <v>972</v>
      </c>
      <c r="F1" s="11" t="s">
        <v>973</v>
      </c>
      <c r="K1" s="11" t="s">
        <v>13</v>
      </c>
      <c r="L1" s="11" t="s">
        <v>1035</v>
      </c>
      <c r="M1" s="11" t="s">
        <v>1036</v>
      </c>
      <c r="N1" s="11" t="s">
        <v>1037</v>
      </c>
    </row>
    <row r="2" spans="1:14" x14ac:dyDescent="0.3">
      <c r="A2" t="s">
        <v>974</v>
      </c>
      <c r="B2" t="s">
        <v>40</v>
      </c>
      <c r="C2" t="s">
        <v>41</v>
      </c>
      <c r="D2" t="s">
        <v>975</v>
      </c>
      <c r="E2" t="s">
        <v>63</v>
      </c>
      <c r="F2">
        <v>32</v>
      </c>
      <c r="K2" t="s">
        <v>22</v>
      </c>
      <c r="L2" t="s">
        <v>1038</v>
      </c>
      <c r="M2" t="s">
        <v>1039</v>
      </c>
      <c r="N2" t="s">
        <v>1040</v>
      </c>
    </row>
    <row r="3" spans="1:14" x14ac:dyDescent="0.3">
      <c r="A3" t="s">
        <v>976</v>
      </c>
      <c r="B3" t="s">
        <v>69</v>
      </c>
      <c r="C3" t="s">
        <v>59</v>
      </c>
      <c r="D3" t="s">
        <v>977</v>
      </c>
      <c r="E3" t="s">
        <v>249</v>
      </c>
      <c r="F3">
        <v>15.5</v>
      </c>
      <c r="K3" t="s">
        <v>30</v>
      </c>
      <c r="L3" t="s">
        <v>1041</v>
      </c>
      <c r="M3" t="s">
        <v>1041</v>
      </c>
      <c r="N3" t="s">
        <v>1042</v>
      </c>
    </row>
    <row r="4" spans="1:14" x14ac:dyDescent="0.3">
      <c r="A4" t="s">
        <v>978</v>
      </c>
      <c r="B4" t="s">
        <v>27</v>
      </c>
      <c r="C4" t="s">
        <v>19</v>
      </c>
      <c r="D4" t="s">
        <v>979</v>
      </c>
      <c r="E4" t="s">
        <v>34</v>
      </c>
      <c r="F4">
        <v>18</v>
      </c>
      <c r="K4" t="s">
        <v>66</v>
      </c>
      <c r="L4" t="s">
        <v>1043</v>
      </c>
      <c r="M4" t="s">
        <v>1043</v>
      </c>
      <c r="N4" t="s">
        <v>1044</v>
      </c>
    </row>
    <row r="5" spans="1:14" x14ac:dyDescent="0.3">
      <c r="A5" t="s">
        <v>980</v>
      </c>
      <c r="B5" t="s">
        <v>73</v>
      </c>
      <c r="C5" t="s">
        <v>41</v>
      </c>
      <c r="D5" t="s">
        <v>981</v>
      </c>
      <c r="E5" t="s">
        <v>982</v>
      </c>
      <c r="F5">
        <v>12.75</v>
      </c>
      <c r="K5" t="s">
        <v>108</v>
      </c>
      <c r="L5" t="s">
        <v>1045</v>
      </c>
      <c r="M5" t="s">
        <v>1045</v>
      </c>
      <c r="N5" t="s">
        <v>1046</v>
      </c>
    </row>
    <row r="6" spans="1:14" x14ac:dyDescent="0.3">
      <c r="A6" t="s">
        <v>983</v>
      </c>
      <c r="B6" t="s">
        <v>64</v>
      </c>
      <c r="C6" t="s">
        <v>65</v>
      </c>
      <c r="D6" t="s">
        <v>984</v>
      </c>
      <c r="E6" t="s">
        <v>985</v>
      </c>
      <c r="F6">
        <v>25</v>
      </c>
      <c r="K6" t="s">
        <v>43</v>
      </c>
      <c r="L6" t="s">
        <v>1047</v>
      </c>
      <c r="M6" t="s">
        <v>1039</v>
      </c>
      <c r="N6" t="s">
        <v>1048</v>
      </c>
    </row>
    <row r="7" spans="1:14" x14ac:dyDescent="0.3">
      <c r="A7" t="s">
        <v>986</v>
      </c>
      <c r="B7" t="s">
        <v>54</v>
      </c>
      <c r="C7" t="s">
        <v>41</v>
      </c>
      <c r="D7" t="s">
        <v>987</v>
      </c>
      <c r="E7" t="s">
        <v>63</v>
      </c>
      <c r="F7">
        <v>20</v>
      </c>
      <c r="K7" t="s">
        <v>173</v>
      </c>
      <c r="L7" t="s">
        <v>1049</v>
      </c>
      <c r="M7" t="s">
        <v>172</v>
      </c>
      <c r="N7" t="s">
        <v>1050</v>
      </c>
    </row>
    <row r="8" spans="1:14" x14ac:dyDescent="0.3">
      <c r="A8" t="s">
        <v>988</v>
      </c>
      <c r="B8" t="s">
        <v>58</v>
      </c>
      <c r="C8" t="s">
        <v>59</v>
      </c>
      <c r="D8" t="s">
        <v>989</v>
      </c>
      <c r="E8" t="s">
        <v>249</v>
      </c>
      <c r="F8">
        <v>22.5</v>
      </c>
    </row>
    <row r="9" spans="1:14" x14ac:dyDescent="0.3">
      <c r="A9" t="s">
        <v>990</v>
      </c>
      <c r="B9" t="s">
        <v>18</v>
      </c>
      <c r="C9" t="s">
        <v>19</v>
      </c>
      <c r="D9" t="s">
        <v>991</v>
      </c>
      <c r="E9" t="s">
        <v>982</v>
      </c>
      <c r="F9">
        <v>35</v>
      </c>
    </row>
    <row r="10" spans="1:14" x14ac:dyDescent="0.3">
      <c r="A10" t="s">
        <v>992</v>
      </c>
      <c r="B10" t="s">
        <v>103</v>
      </c>
      <c r="C10" t="s">
        <v>59</v>
      </c>
      <c r="D10" t="s">
        <v>981</v>
      </c>
      <c r="E10" t="s">
        <v>249</v>
      </c>
      <c r="F10">
        <v>28</v>
      </c>
      <c r="L10" t="str">
        <f>IFERROR(VLOOKUP(K4,K1:N7,2,FALSE),"None")</f>
        <v>Asia</v>
      </c>
    </row>
    <row r="11" spans="1:14" x14ac:dyDescent="0.3">
      <c r="A11" t="s">
        <v>993</v>
      </c>
      <c r="B11" t="s">
        <v>48</v>
      </c>
      <c r="C11" t="s">
        <v>49</v>
      </c>
      <c r="D11" t="s">
        <v>994</v>
      </c>
      <c r="E11" t="s">
        <v>995</v>
      </c>
      <c r="F11">
        <v>40</v>
      </c>
    </row>
    <row r="14" spans="1:14" x14ac:dyDescent="0.3">
      <c r="D14" t="str">
        <f>IFERROR(VLOOKUP(A3,A1:F11,{4,5},FALSE),"None")</f>
        <v>Artisans Co.</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534602-D62E-461D-9BD6-119F630B5CD9}">
  <dimension ref="A1:M94"/>
  <sheetViews>
    <sheetView workbookViewId="0">
      <selection activeCell="M3" sqref="M3"/>
    </sheetView>
  </sheetViews>
  <sheetFormatPr defaultRowHeight="14.4" x14ac:dyDescent="0.3"/>
  <cols>
    <col min="1" max="1" width="12.109375" bestFit="1" customWidth="1"/>
    <col min="3" max="3" width="10.44140625" bestFit="1" customWidth="1"/>
    <col min="4" max="4" width="10.88671875" bestFit="1" customWidth="1"/>
    <col min="6" max="6" width="7.44140625" bestFit="1" customWidth="1"/>
  </cols>
  <sheetData>
    <row r="1" spans="1:13" x14ac:dyDescent="0.3">
      <c r="A1" s="11" t="s">
        <v>13</v>
      </c>
      <c r="B1" s="11" t="s">
        <v>1051</v>
      </c>
      <c r="C1" s="11" t="s">
        <v>8</v>
      </c>
      <c r="D1" s="11" t="s">
        <v>1052</v>
      </c>
      <c r="E1" s="11" t="s">
        <v>1053</v>
      </c>
      <c r="F1" s="11" t="s">
        <v>1054</v>
      </c>
      <c r="I1" s="18" t="s">
        <v>1072</v>
      </c>
      <c r="J1">
        <f ca="1">SUMIF(A2:F94,"AF",C2:C94)</f>
        <v>29495.039999999997</v>
      </c>
      <c r="M1">
        <f ca="1">SUMIF(A2:F94,"AF",D2:D94)</f>
        <v>8967.32</v>
      </c>
    </row>
    <row r="2" spans="1:13" x14ac:dyDescent="0.3">
      <c r="A2" t="s">
        <v>108</v>
      </c>
      <c r="B2" t="s">
        <v>1055</v>
      </c>
      <c r="C2">
        <v>3778.57</v>
      </c>
      <c r="D2">
        <v>1212.1199999999999</v>
      </c>
      <c r="E2">
        <v>3</v>
      </c>
      <c r="F2">
        <v>5</v>
      </c>
      <c r="I2" t="s">
        <v>1073</v>
      </c>
      <c r="J2">
        <f ca="1">AVERAGEIF(A2:F94,"AF",C2:C94)</f>
        <v>2268.8492307692304</v>
      </c>
      <c r="M2">
        <f ca="1">AVERAGEIF(A2:F94,"AF",D2:D94)</f>
        <v>689.79384615384618</v>
      </c>
    </row>
    <row r="3" spans="1:13" x14ac:dyDescent="0.3">
      <c r="A3" t="s">
        <v>108</v>
      </c>
      <c r="B3" t="s">
        <v>1056</v>
      </c>
      <c r="C3">
        <v>3519.18</v>
      </c>
      <c r="D3">
        <v>910.68</v>
      </c>
      <c r="E3">
        <v>2</v>
      </c>
      <c r="F3">
        <v>3</v>
      </c>
    </row>
    <row r="4" spans="1:13" x14ac:dyDescent="0.3">
      <c r="A4" t="s">
        <v>108</v>
      </c>
      <c r="B4" t="s">
        <v>1057</v>
      </c>
      <c r="C4">
        <v>1765.51</v>
      </c>
      <c r="D4">
        <v>530.96</v>
      </c>
      <c r="E4">
        <v>2</v>
      </c>
      <c r="F4">
        <v>4</v>
      </c>
    </row>
    <row r="5" spans="1:13" x14ac:dyDescent="0.3">
      <c r="A5" t="s">
        <v>108</v>
      </c>
      <c r="B5" t="s">
        <v>1058</v>
      </c>
      <c r="C5">
        <v>4768.72</v>
      </c>
      <c r="D5">
        <v>1717.12</v>
      </c>
      <c r="E5">
        <v>3</v>
      </c>
      <c r="F5">
        <v>7</v>
      </c>
    </row>
    <row r="6" spans="1:13" x14ac:dyDescent="0.3">
      <c r="A6" t="s">
        <v>108</v>
      </c>
      <c r="B6" t="s">
        <v>1059</v>
      </c>
      <c r="C6">
        <v>751.14</v>
      </c>
      <c r="D6">
        <v>168.93</v>
      </c>
      <c r="E6">
        <v>4</v>
      </c>
      <c r="F6">
        <v>8</v>
      </c>
    </row>
    <row r="7" spans="1:13" x14ac:dyDescent="0.3">
      <c r="A7" t="s">
        <v>108</v>
      </c>
      <c r="B7" t="s">
        <v>1060</v>
      </c>
      <c r="C7">
        <v>2704.41</v>
      </c>
      <c r="D7">
        <v>772.61</v>
      </c>
      <c r="E7">
        <v>3</v>
      </c>
      <c r="F7">
        <v>5</v>
      </c>
    </row>
    <row r="8" spans="1:13" x14ac:dyDescent="0.3">
      <c r="A8" t="s">
        <v>108</v>
      </c>
      <c r="B8" t="s">
        <v>1061</v>
      </c>
      <c r="C8">
        <v>908.84</v>
      </c>
      <c r="D8">
        <v>264.43</v>
      </c>
      <c r="E8">
        <v>2</v>
      </c>
      <c r="F8">
        <v>6</v>
      </c>
    </row>
    <row r="9" spans="1:13" x14ac:dyDescent="0.3">
      <c r="A9" t="s">
        <v>108</v>
      </c>
      <c r="B9" t="s">
        <v>1062</v>
      </c>
      <c r="C9">
        <v>794.82</v>
      </c>
      <c r="D9">
        <v>255.37</v>
      </c>
      <c r="E9">
        <v>1</v>
      </c>
      <c r="F9">
        <v>7</v>
      </c>
    </row>
    <row r="10" spans="1:13" x14ac:dyDescent="0.3">
      <c r="A10" t="s">
        <v>108</v>
      </c>
      <c r="B10" t="s">
        <v>1063</v>
      </c>
      <c r="C10">
        <v>1882.75</v>
      </c>
      <c r="D10">
        <v>346.8</v>
      </c>
      <c r="E10">
        <v>4</v>
      </c>
      <c r="F10">
        <v>3</v>
      </c>
    </row>
    <row r="11" spans="1:13" x14ac:dyDescent="0.3">
      <c r="A11" t="s">
        <v>108</v>
      </c>
      <c r="B11" t="s">
        <v>1064</v>
      </c>
      <c r="C11">
        <v>3269.37</v>
      </c>
      <c r="D11">
        <v>1085.4100000000001</v>
      </c>
      <c r="E11">
        <v>2</v>
      </c>
      <c r="F11">
        <v>2</v>
      </c>
    </row>
    <row r="12" spans="1:13" x14ac:dyDescent="0.3">
      <c r="A12" t="s">
        <v>108</v>
      </c>
      <c r="B12" t="s">
        <v>1065</v>
      </c>
      <c r="C12">
        <v>412.62</v>
      </c>
      <c r="D12">
        <v>155.44</v>
      </c>
      <c r="E12">
        <v>1</v>
      </c>
      <c r="F12">
        <v>8</v>
      </c>
    </row>
    <row r="13" spans="1:13" x14ac:dyDescent="0.3">
      <c r="A13" t="s">
        <v>108</v>
      </c>
      <c r="B13" t="s">
        <v>1066</v>
      </c>
      <c r="C13">
        <v>2964.8</v>
      </c>
      <c r="D13">
        <v>920.04</v>
      </c>
      <c r="E13">
        <v>4</v>
      </c>
      <c r="F13">
        <v>4</v>
      </c>
    </row>
    <row r="14" spans="1:13" x14ac:dyDescent="0.3">
      <c r="A14" t="s">
        <v>108</v>
      </c>
      <c r="B14" t="s">
        <v>1067</v>
      </c>
      <c r="C14">
        <v>1974.31</v>
      </c>
      <c r="D14">
        <v>627.41</v>
      </c>
      <c r="E14">
        <v>2</v>
      </c>
      <c r="F14">
        <v>9</v>
      </c>
    </row>
    <row r="15" spans="1:13" x14ac:dyDescent="0.3">
      <c r="A15" t="s">
        <v>66</v>
      </c>
      <c r="B15" t="s">
        <v>1068</v>
      </c>
      <c r="C15">
        <v>12118.86</v>
      </c>
      <c r="D15">
        <v>2799.31</v>
      </c>
      <c r="E15">
        <v>11</v>
      </c>
      <c r="F15">
        <v>5</v>
      </c>
    </row>
    <row r="16" spans="1:13" x14ac:dyDescent="0.3">
      <c r="A16" t="s">
        <v>66</v>
      </c>
      <c r="B16" t="s">
        <v>1055</v>
      </c>
      <c r="C16">
        <v>8766.07</v>
      </c>
      <c r="D16">
        <v>2416.6</v>
      </c>
      <c r="E16">
        <v>9</v>
      </c>
      <c r="F16">
        <v>6</v>
      </c>
    </row>
    <row r="17" spans="1:6" x14ac:dyDescent="0.3">
      <c r="A17" t="s">
        <v>66</v>
      </c>
      <c r="B17" t="s">
        <v>1056</v>
      </c>
      <c r="C17">
        <v>7955.66</v>
      </c>
      <c r="D17">
        <v>2329.09</v>
      </c>
      <c r="E17">
        <v>9</v>
      </c>
      <c r="F17">
        <v>1</v>
      </c>
    </row>
    <row r="18" spans="1:6" x14ac:dyDescent="0.3">
      <c r="A18" t="s">
        <v>66</v>
      </c>
      <c r="B18" t="s">
        <v>1057</v>
      </c>
      <c r="C18">
        <v>5871.72</v>
      </c>
      <c r="D18">
        <v>1889.51</v>
      </c>
      <c r="E18">
        <v>6</v>
      </c>
      <c r="F18">
        <v>1</v>
      </c>
    </row>
    <row r="19" spans="1:6" x14ac:dyDescent="0.3">
      <c r="A19" t="s">
        <v>66</v>
      </c>
      <c r="B19" t="s">
        <v>1069</v>
      </c>
      <c r="C19">
        <v>5008.9399999999996</v>
      </c>
      <c r="D19">
        <v>1129.83</v>
      </c>
      <c r="E19">
        <v>7</v>
      </c>
      <c r="F19">
        <v>8</v>
      </c>
    </row>
    <row r="20" spans="1:6" x14ac:dyDescent="0.3">
      <c r="A20" t="s">
        <v>66</v>
      </c>
      <c r="B20" t="s">
        <v>1058</v>
      </c>
      <c r="C20">
        <v>8767.11</v>
      </c>
      <c r="D20">
        <v>2622.31</v>
      </c>
      <c r="E20">
        <v>7</v>
      </c>
      <c r="F20">
        <v>3</v>
      </c>
    </row>
    <row r="21" spans="1:6" x14ac:dyDescent="0.3">
      <c r="A21" t="s">
        <v>66</v>
      </c>
      <c r="B21" t="s">
        <v>1059</v>
      </c>
      <c r="C21">
        <v>13074.39</v>
      </c>
      <c r="D21">
        <v>3550.23</v>
      </c>
      <c r="E21">
        <v>11</v>
      </c>
      <c r="F21">
        <v>2</v>
      </c>
    </row>
    <row r="22" spans="1:6" x14ac:dyDescent="0.3">
      <c r="A22" t="s">
        <v>66</v>
      </c>
      <c r="B22" t="s">
        <v>1070</v>
      </c>
      <c r="C22">
        <v>12111.05</v>
      </c>
      <c r="D22">
        <v>3346.91</v>
      </c>
      <c r="E22">
        <v>11</v>
      </c>
      <c r="F22">
        <v>1</v>
      </c>
    </row>
    <row r="23" spans="1:6" x14ac:dyDescent="0.3">
      <c r="A23" t="s">
        <v>66</v>
      </c>
      <c r="B23" t="s">
        <v>1060</v>
      </c>
      <c r="C23">
        <v>14892.08</v>
      </c>
      <c r="D23">
        <v>4197.32</v>
      </c>
      <c r="E23">
        <v>19</v>
      </c>
      <c r="F23">
        <v>1</v>
      </c>
    </row>
    <row r="24" spans="1:6" x14ac:dyDescent="0.3">
      <c r="A24" t="s">
        <v>66</v>
      </c>
      <c r="B24" t="s">
        <v>1061</v>
      </c>
      <c r="C24">
        <v>8946.65</v>
      </c>
      <c r="D24">
        <v>3064.47</v>
      </c>
      <c r="E24">
        <v>9</v>
      </c>
      <c r="F24">
        <v>9</v>
      </c>
    </row>
    <row r="25" spans="1:6" x14ac:dyDescent="0.3">
      <c r="A25" t="s">
        <v>66</v>
      </c>
      <c r="B25" t="s">
        <v>1062</v>
      </c>
      <c r="C25">
        <v>13730.81</v>
      </c>
      <c r="D25">
        <v>3430.89</v>
      </c>
      <c r="E25">
        <v>13</v>
      </c>
      <c r="F25">
        <v>8</v>
      </c>
    </row>
    <row r="26" spans="1:6" x14ac:dyDescent="0.3">
      <c r="A26" t="s">
        <v>66</v>
      </c>
      <c r="B26" t="s">
        <v>1063</v>
      </c>
      <c r="C26">
        <v>11679.03</v>
      </c>
      <c r="D26">
        <v>3081.7</v>
      </c>
      <c r="E26">
        <v>11</v>
      </c>
      <c r="F26">
        <v>3</v>
      </c>
    </row>
    <row r="27" spans="1:6" x14ac:dyDescent="0.3">
      <c r="A27" t="s">
        <v>66</v>
      </c>
      <c r="B27" t="s">
        <v>1064</v>
      </c>
      <c r="C27">
        <v>9897.75</v>
      </c>
      <c r="D27">
        <v>2652.22</v>
      </c>
      <c r="E27">
        <v>14</v>
      </c>
      <c r="F27">
        <v>5</v>
      </c>
    </row>
    <row r="28" spans="1:6" x14ac:dyDescent="0.3">
      <c r="A28" t="s">
        <v>66</v>
      </c>
      <c r="B28" t="s">
        <v>1065</v>
      </c>
      <c r="C28">
        <v>5404.6900000000014</v>
      </c>
      <c r="D28">
        <v>1469.09</v>
      </c>
      <c r="E28">
        <v>8</v>
      </c>
      <c r="F28">
        <v>3</v>
      </c>
    </row>
    <row r="29" spans="1:6" x14ac:dyDescent="0.3">
      <c r="A29" t="s">
        <v>66</v>
      </c>
      <c r="B29" t="s">
        <v>1066</v>
      </c>
      <c r="C29">
        <v>11784.96</v>
      </c>
      <c r="D29">
        <v>3759.57</v>
      </c>
      <c r="E29">
        <v>9</v>
      </c>
      <c r="F29">
        <v>5</v>
      </c>
    </row>
    <row r="30" spans="1:6" x14ac:dyDescent="0.3">
      <c r="A30" t="s">
        <v>66</v>
      </c>
      <c r="B30" t="s">
        <v>1067</v>
      </c>
      <c r="C30">
        <v>16779.43</v>
      </c>
      <c r="D30">
        <v>5047.63</v>
      </c>
      <c r="E30">
        <v>17</v>
      </c>
      <c r="F30">
        <v>8</v>
      </c>
    </row>
    <row r="31" spans="1:6" x14ac:dyDescent="0.3">
      <c r="A31" t="s">
        <v>66</v>
      </c>
      <c r="B31" t="s">
        <v>1071</v>
      </c>
      <c r="C31">
        <v>4379.2</v>
      </c>
      <c r="D31">
        <v>1129.18</v>
      </c>
      <c r="E31">
        <v>8</v>
      </c>
      <c r="F31">
        <v>1</v>
      </c>
    </row>
    <row r="32" spans="1:6" x14ac:dyDescent="0.3">
      <c r="A32" t="s">
        <v>30</v>
      </c>
      <c r="B32" t="s">
        <v>1068</v>
      </c>
      <c r="C32">
        <v>5963.8</v>
      </c>
      <c r="D32">
        <v>1573.73</v>
      </c>
      <c r="E32">
        <v>5</v>
      </c>
      <c r="F32">
        <v>5</v>
      </c>
    </row>
    <row r="33" spans="1:6" x14ac:dyDescent="0.3">
      <c r="A33" t="s">
        <v>30</v>
      </c>
      <c r="B33" t="s">
        <v>1055</v>
      </c>
      <c r="C33">
        <v>10805.59</v>
      </c>
      <c r="D33">
        <v>3570.55</v>
      </c>
      <c r="E33">
        <v>11</v>
      </c>
      <c r="F33">
        <v>1</v>
      </c>
    </row>
    <row r="34" spans="1:6" x14ac:dyDescent="0.3">
      <c r="A34" t="s">
        <v>30</v>
      </c>
      <c r="B34" t="s">
        <v>1056</v>
      </c>
      <c r="C34">
        <v>5417.25</v>
      </c>
      <c r="D34">
        <v>1555.47</v>
      </c>
      <c r="E34">
        <v>5</v>
      </c>
      <c r="F34">
        <v>7</v>
      </c>
    </row>
    <row r="35" spans="1:6" x14ac:dyDescent="0.3">
      <c r="A35" t="s">
        <v>30</v>
      </c>
      <c r="B35" t="s">
        <v>1057</v>
      </c>
      <c r="C35">
        <v>3447.44</v>
      </c>
      <c r="D35">
        <v>997.16000000000008</v>
      </c>
      <c r="E35">
        <v>5</v>
      </c>
      <c r="F35">
        <v>8</v>
      </c>
    </row>
    <row r="36" spans="1:6" x14ac:dyDescent="0.3">
      <c r="A36" t="s">
        <v>30</v>
      </c>
      <c r="B36" t="s">
        <v>1069</v>
      </c>
      <c r="C36">
        <v>2680.99</v>
      </c>
      <c r="D36">
        <v>567.59</v>
      </c>
      <c r="E36">
        <v>4</v>
      </c>
      <c r="F36">
        <v>1</v>
      </c>
    </row>
    <row r="37" spans="1:6" x14ac:dyDescent="0.3">
      <c r="A37" t="s">
        <v>30</v>
      </c>
      <c r="B37" t="s">
        <v>1058</v>
      </c>
      <c r="C37">
        <v>15432.12</v>
      </c>
      <c r="D37">
        <v>4593.17</v>
      </c>
      <c r="E37">
        <v>16</v>
      </c>
      <c r="F37">
        <v>1</v>
      </c>
    </row>
    <row r="38" spans="1:6" x14ac:dyDescent="0.3">
      <c r="A38" t="s">
        <v>30</v>
      </c>
      <c r="B38" t="s">
        <v>1059</v>
      </c>
      <c r="C38">
        <v>10623.02</v>
      </c>
      <c r="D38">
        <v>3155.49</v>
      </c>
      <c r="E38">
        <v>15</v>
      </c>
      <c r="F38">
        <v>8</v>
      </c>
    </row>
    <row r="39" spans="1:6" x14ac:dyDescent="0.3">
      <c r="A39" t="s">
        <v>30</v>
      </c>
      <c r="B39" t="s">
        <v>1070</v>
      </c>
      <c r="C39">
        <v>6538.51</v>
      </c>
      <c r="D39">
        <v>1686.63</v>
      </c>
      <c r="E39">
        <v>10</v>
      </c>
      <c r="F39">
        <v>1</v>
      </c>
    </row>
    <row r="40" spans="1:6" x14ac:dyDescent="0.3">
      <c r="A40" t="s">
        <v>30</v>
      </c>
      <c r="B40" t="s">
        <v>1060</v>
      </c>
      <c r="C40">
        <v>4338.0200000000004</v>
      </c>
      <c r="D40">
        <v>941.58999999999992</v>
      </c>
      <c r="E40">
        <v>5</v>
      </c>
      <c r="F40">
        <v>6</v>
      </c>
    </row>
    <row r="41" spans="1:6" x14ac:dyDescent="0.3">
      <c r="A41" t="s">
        <v>30</v>
      </c>
      <c r="B41" t="s">
        <v>1061</v>
      </c>
      <c r="C41">
        <v>6894.59</v>
      </c>
      <c r="D41">
        <v>2046.19</v>
      </c>
      <c r="E41">
        <v>11</v>
      </c>
      <c r="F41">
        <v>2</v>
      </c>
    </row>
    <row r="42" spans="1:6" x14ac:dyDescent="0.3">
      <c r="A42" t="s">
        <v>30</v>
      </c>
      <c r="B42" t="s">
        <v>1062</v>
      </c>
      <c r="C42">
        <v>6006.6500000000005</v>
      </c>
      <c r="D42">
        <v>1368.08</v>
      </c>
      <c r="E42">
        <v>7</v>
      </c>
      <c r="F42">
        <v>6</v>
      </c>
    </row>
    <row r="43" spans="1:6" x14ac:dyDescent="0.3">
      <c r="A43" t="s">
        <v>30</v>
      </c>
      <c r="B43" t="s">
        <v>1063</v>
      </c>
      <c r="C43">
        <v>5718.61</v>
      </c>
      <c r="D43">
        <v>1342.18</v>
      </c>
      <c r="E43">
        <v>7</v>
      </c>
      <c r="F43">
        <v>6</v>
      </c>
    </row>
    <row r="44" spans="1:6" x14ac:dyDescent="0.3">
      <c r="A44" t="s">
        <v>30</v>
      </c>
      <c r="B44" t="s">
        <v>1064</v>
      </c>
      <c r="C44">
        <v>8016.39</v>
      </c>
      <c r="D44">
        <v>2485.71</v>
      </c>
      <c r="E44">
        <v>8</v>
      </c>
      <c r="F44">
        <v>9</v>
      </c>
    </row>
    <row r="45" spans="1:6" x14ac:dyDescent="0.3">
      <c r="A45" t="s">
        <v>30</v>
      </c>
      <c r="B45" t="s">
        <v>1065</v>
      </c>
      <c r="C45">
        <v>5431.37</v>
      </c>
      <c r="D45">
        <v>1032.25</v>
      </c>
      <c r="E45">
        <v>5</v>
      </c>
      <c r="F45">
        <v>3</v>
      </c>
    </row>
    <row r="46" spans="1:6" x14ac:dyDescent="0.3">
      <c r="A46" t="s">
        <v>30</v>
      </c>
      <c r="B46" t="s">
        <v>1066</v>
      </c>
      <c r="C46">
        <v>9021.380000000001</v>
      </c>
      <c r="D46">
        <v>3026.61</v>
      </c>
      <c r="E46">
        <v>7</v>
      </c>
      <c r="F46">
        <v>5</v>
      </c>
    </row>
    <row r="47" spans="1:6" x14ac:dyDescent="0.3">
      <c r="A47" t="s">
        <v>30</v>
      </c>
      <c r="B47" t="s">
        <v>1067</v>
      </c>
      <c r="C47">
        <v>7453.18</v>
      </c>
      <c r="D47">
        <v>1835.78</v>
      </c>
      <c r="E47">
        <v>8</v>
      </c>
      <c r="F47">
        <v>6</v>
      </c>
    </row>
    <row r="48" spans="1:6" x14ac:dyDescent="0.3">
      <c r="A48" t="s">
        <v>30</v>
      </c>
      <c r="B48" t="s">
        <v>1071</v>
      </c>
      <c r="C48">
        <v>1425.71</v>
      </c>
      <c r="D48">
        <v>356.57</v>
      </c>
      <c r="E48">
        <v>5</v>
      </c>
      <c r="F48">
        <v>5</v>
      </c>
    </row>
    <row r="49" spans="1:6" x14ac:dyDescent="0.3">
      <c r="A49" t="s">
        <v>22</v>
      </c>
      <c r="B49" t="s">
        <v>1068</v>
      </c>
      <c r="C49">
        <v>4059.57</v>
      </c>
      <c r="D49">
        <v>1247.83</v>
      </c>
      <c r="E49">
        <v>5</v>
      </c>
      <c r="F49">
        <v>1</v>
      </c>
    </row>
    <row r="50" spans="1:6" x14ac:dyDescent="0.3">
      <c r="A50" t="s">
        <v>22</v>
      </c>
      <c r="B50" t="s">
        <v>1055</v>
      </c>
      <c r="C50">
        <v>5390.3499999999995</v>
      </c>
      <c r="D50">
        <v>1662.29</v>
      </c>
      <c r="E50">
        <v>5</v>
      </c>
      <c r="F50">
        <v>5</v>
      </c>
    </row>
    <row r="51" spans="1:6" x14ac:dyDescent="0.3">
      <c r="A51" t="s">
        <v>22</v>
      </c>
      <c r="B51" t="s">
        <v>1056</v>
      </c>
      <c r="C51">
        <v>1064.19</v>
      </c>
      <c r="D51">
        <v>388.91</v>
      </c>
      <c r="E51">
        <v>3</v>
      </c>
      <c r="F51">
        <v>1</v>
      </c>
    </row>
    <row r="52" spans="1:6" x14ac:dyDescent="0.3">
      <c r="A52" t="s">
        <v>22</v>
      </c>
      <c r="B52" t="s">
        <v>1057</v>
      </c>
      <c r="C52">
        <v>1721.74</v>
      </c>
      <c r="D52">
        <v>465.98</v>
      </c>
      <c r="E52">
        <v>3</v>
      </c>
      <c r="F52">
        <v>5</v>
      </c>
    </row>
    <row r="53" spans="1:6" x14ac:dyDescent="0.3">
      <c r="A53" t="s">
        <v>22</v>
      </c>
      <c r="B53" t="s">
        <v>1069</v>
      </c>
      <c r="C53">
        <v>8874.1</v>
      </c>
      <c r="D53">
        <v>2315.96</v>
      </c>
      <c r="E53">
        <v>8</v>
      </c>
      <c r="F53">
        <v>3</v>
      </c>
    </row>
    <row r="54" spans="1:6" x14ac:dyDescent="0.3">
      <c r="A54" t="s">
        <v>22</v>
      </c>
      <c r="B54" t="s">
        <v>1058</v>
      </c>
      <c r="C54">
        <v>4737.55</v>
      </c>
      <c r="D54">
        <v>1543.71</v>
      </c>
      <c r="E54">
        <v>4</v>
      </c>
      <c r="F54">
        <v>1</v>
      </c>
    </row>
    <row r="55" spans="1:6" x14ac:dyDescent="0.3">
      <c r="A55" t="s">
        <v>22</v>
      </c>
      <c r="B55" t="s">
        <v>1059</v>
      </c>
      <c r="C55">
        <v>2262.48</v>
      </c>
      <c r="D55">
        <v>463.63</v>
      </c>
      <c r="E55">
        <v>2</v>
      </c>
      <c r="F55">
        <v>1</v>
      </c>
    </row>
    <row r="56" spans="1:6" x14ac:dyDescent="0.3">
      <c r="A56" t="s">
        <v>22</v>
      </c>
      <c r="B56" t="s">
        <v>1070</v>
      </c>
      <c r="C56">
        <v>2443.42</v>
      </c>
      <c r="D56">
        <v>578.91999999999996</v>
      </c>
      <c r="E56">
        <v>2</v>
      </c>
      <c r="F56">
        <v>7</v>
      </c>
    </row>
    <row r="57" spans="1:6" x14ac:dyDescent="0.3">
      <c r="A57" t="s">
        <v>22</v>
      </c>
      <c r="B57" t="s">
        <v>1060</v>
      </c>
      <c r="C57">
        <v>5589.5999999999995</v>
      </c>
      <c r="D57">
        <v>1545.11</v>
      </c>
      <c r="E57">
        <v>7</v>
      </c>
      <c r="F57">
        <v>1</v>
      </c>
    </row>
    <row r="58" spans="1:6" x14ac:dyDescent="0.3">
      <c r="A58" t="s">
        <v>22</v>
      </c>
      <c r="B58" t="s">
        <v>1061</v>
      </c>
      <c r="C58">
        <v>7347.76</v>
      </c>
      <c r="D58">
        <v>1856.14</v>
      </c>
      <c r="E58">
        <v>7</v>
      </c>
      <c r="F58">
        <v>2</v>
      </c>
    </row>
    <row r="59" spans="1:6" x14ac:dyDescent="0.3">
      <c r="A59" t="s">
        <v>22</v>
      </c>
      <c r="B59" t="s">
        <v>1062</v>
      </c>
      <c r="C59">
        <v>6488.83</v>
      </c>
      <c r="D59">
        <v>1394.89</v>
      </c>
      <c r="E59">
        <v>5</v>
      </c>
      <c r="F59">
        <v>5</v>
      </c>
    </row>
    <row r="60" spans="1:6" x14ac:dyDescent="0.3">
      <c r="A60" t="s">
        <v>22</v>
      </c>
      <c r="B60" t="s">
        <v>1063</v>
      </c>
      <c r="C60">
        <v>13213.87</v>
      </c>
      <c r="D60">
        <v>3606.27</v>
      </c>
      <c r="E60">
        <v>12</v>
      </c>
      <c r="F60">
        <v>7</v>
      </c>
    </row>
    <row r="61" spans="1:6" x14ac:dyDescent="0.3">
      <c r="A61" t="s">
        <v>22</v>
      </c>
      <c r="B61" t="s">
        <v>1064</v>
      </c>
      <c r="C61">
        <v>2048.6</v>
      </c>
      <c r="D61">
        <v>626.04999999999995</v>
      </c>
      <c r="E61">
        <v>3</v>
      </c>
      <c r="F61">
        <v>1</v>
      </c>
    </row>
    <row r="62" spans="1:6" x14ac:dyDescent="0.3">
      <c r="A62" t="s">
        <v>22</v>
      </c>
      <c r="B62" t="s">
        <v>1065</v>
      </c>
      <c r="C62">
        <v>9137.09</v>
      </c>
      <c r="D62">
        <v>3200.92</v>
      </c>
      <c r="E62">
        <v>8</v>
      </c>
      <c r="F62">
        <v>7</v>
      </c>
    </row>
    <row r="63" spans="1:6" x14ac:dyDescent="0.3">
      <c r="A63" t="s">
        <v>22</v>
      </c>
      <c r="B63" t="s">
        <v>1066</v>
      </c>
      <c r="C63">
        <v>3271.86</v>
      </c>
      <c r="D63">
        <v>762.28</v>
      </c>
      <c r="E63">
        <v>4</v>
      </c>
      <c r="F63">
        <v>7</v>
      </c>
    </row>
    <row r="64" spans="1:6" x14ac:dyDescent="0.3">
      <c r="A64" t="s">
        <v>22</v>
      </c>
      <c r="B64" t="s">
        <v>1067</v>
      </c>
      <c r="C64">
        <v>6394.1900000000014</v>
      </c>
      <c r="D64">
        <v>1658.61</v>
      </c>
      <c r="E64">
        <v>7</v>
      </c>
      <c r="F64">
        <v>4</v>
      </c>
    </row>
    <row r="65" spans="1:6" x14ac:dyDescent="0.3">
      <c r="A65" t="s">
        <v>22</v>
      </c>
      <c r="B65" t="s">
        <v>1071</v>
      </c>
      <c r="C65">
        <v>2899.87</v>
      </c>
      <c r="D65">
        <v>735.74</v>
      </c>
      <c r="E65">
        <v>2</v>
      </c>
      <c r="F65">
        <v>9</v>
      </c>
    </row>
    <row r="66" spans="1:6" x14ac:dyDescent="0.3">
      <c r="A66" t="s">
        <v>173</v>
      </c>
      <c r="B66" t="s">
        <v>1068</v>
      </c>
      <c r="C66">
        <v>656.88</v>
      </c>
      <c r="D66">
        <v>167.02</v>
      </c>
      <c r="E66">
        <v>1</v>
      </c>
      <c r="F66">
        <v>9</v>
      </c>
    </row>
    <row r="67" spans="1:6" x14ac:dyDescent="0.3">
      <c r="A67" t="s">
        <v>173</v>
      </c>
      <c r="B67" t="s">
        <v>1056</v>
      </c>
      <c r="C67">
        <v>6450.38</v>
      </c>
      <c r="D67">
        <v>1428.65</v>
      </c>
      <c r="E67">
        <v>4</v>
      </c>
      <c r="F67">
        <v>3</v>
      </c>
    </row>
    <row r="68" spans="1:6" x14ac:dyDescent="0.3">
      <c r="A68" t="s">
        <v>173</v>
      </c>
      <c r="B68" t="s">
        <v>1069</v>
      </c>
      <c r="C68">
        <v>2045.91</v>
      </c>
      <c r="D68">
        <v>418.73</v>
      </c>
      <c r="E68">
        <v>3</v>
      </c>
      <c r="F68">
        <v>3</v>
      </c>
    </row>
    <row r="69" spans="1:6" x14ac:dyDescent="0.3">
      <c r="A69" t="s">
        <v>173</v>
      </c>
      <c r="B69" t="s">
        <v>1058</v>
      </c>
      <c r="C69">
        <v>2355.85</v>
      </c>
      <c r="D69">
        <v>356.88</v>
      </c>
      <c r="E69">
        <v>2</v>
      </c>
      <c r="F69">
        <v>1</v>
      </c>
    </row>
    <row r="70" spans="1:6" x14ac:dyDescent="0.3">
      <c r="A70" t="s">
        <v>173</v>
      </c>
      <c r="B70" t="s">
        <v>1059</v>
      </c>
      <c r="C70">
        <v>2376.6799999999998</v>
      </c>
      <c r="D70">
        <v>773.68</v>
      </c>
      <c r="E70">
        <v>3</v>
      </c>
      <c r="F70">
        <v>6</v>
      </c>
    </row>
    <row r="71" spans="1:6" x14ac:dyDescent="0.3">
      <c r="A71" t="s">
        <v>173</v>
      </c>
      <c r="B71" t="s">
        <v>1060</v>
      </c>
      <c r="C71">
        <v>2832.86</v>
      </c>
      <c r="D71">
        <v>661.32999999999993</v>
      </c>
      <c r="E71">
        <v>3</v>
      </c>
      <c r="F71">
        <v>9</v>
      </c>
    </row>
    <row r="72" spans="1:6" x14ac:dyDescent="0.3">
      <c r="A72" t="s">
        <v>173</v>
      </c>
      <c r="B72" t="s">
        <v>1061</v>
      </c>
      <c r="C72">
        <v>935.88</v>
      </c>
      <c r="D72">
        <v>186.51</v>
      </c>
      <c r="E72">
        <v>1</v>
      </c>
      <c r="F72">
        <v>4</v>
      </c>
    </row>
    <row r="73" spans="1:6" x14ac:dyDescent="0.3">
      <c r="A73" t="s">
        <v>173</v>
      </c>
      <c r="B73" t="s">
        <v>1062</v>
      </c>
      <c r="C73">
        <v>1719.38</v>
      </c>
      <c r="D73">
        <v>447.82000000000011</v>
      </c>
      <c r="E73">
        <v>2</v>
      </c>
      <c r="F73">
        <v>1</v>
      </c>
    </row>
    <row r="74" spans="1:6" x14ac:dyDescent="0.3">
      <c r="A74" t="s">
        <v>173</v>
      </c>
      <c r="B74" t="s">
        <v>1063</v>
      </c>
      <c r="C74">
        <v>3220</v>
      </c>
      <c r="D74">
        <v>1219.8900000000001</v>
      </c>
      <c r="E74">
        <v>1</v>
      </c>
      <c r="F74">
        <v>7</v>
      </c>
    </row>
    <row r="75" spans="1:6" x14ac:dyDescent="0.3">
      <c r="A75" t="s">
        <v>173</v>
      </c>
      <c r="B75" t="s">
        <v>1064</v>
      </c>
      <c r="C75">
        <v>1567.87</v>
      </c>
      <c r="D75">
        <v>518.99</v>
      </c>
      <c r="E75">
        <v>3</v>
      </c>
      <c r="F75">
        <v>9</v>
      </c>
    </row>
    <row r="76" spans="1:6" x14ac:dyDescent="0.3">
      <c r="A76" t="s">
        <v>173</v>
      </c>
      <c r="B76" t="s">
        <v>1065</v>
      </c>
      <c r="C76">
        <v>4977.83</v>
      </c>
      <c r="D76">
        <v>1410.15</v>
      </c>
      <c r="E76">
        <v>3</v>
      </c>
      <c r="F76">
        <v>3</v>
      </c>
    </row>
    <row r="77" spans="1:6" x14ac:dyDescent="0.3">
      <c r="A77" t="s">
        <v>173</v>
      </c>
      <c r="B77" t="s">
        <v>1066</v>
      </c>
      <c r="C77">
        <v>5111.88</v>
      </c>
      <c r="D77">
        <v>1879.68</v>
      </c>
      <c r="E77">
        <v>3</v>
      </c>
      <c r="F77">
        <v>6</v>
      </c>
    </row>
    <row r="78" spans="1:6" x14ac:dyDescent="0.3">
      <c r="A78" t="s">
        <v>173</v>
      </c>
      <c r="B78" t="s">
        <v>1067</v>
      </c>
      <c r="C78">
        <v>2766.06</v>
      </c>
      <c r="D78">
        <v>693.37</v>
      </c>
      <c r="E78">
        <v>3</v>
      </c>
      <c r="F78">
        <v>5</v>
      </c>
    </row>
    <row r="79" spans="1:6" x14ac:dyDescent="0.3">
      <c r="A79" t="s">
        <v>43</v>
      </c>
      <c r="B79" t="s">
        <v>1068</v>
      </c>
      <c r="C79">
        <v>843.2</v>
      </c>
      <c r="D79">
        <v>266.39</v>
      </c>
      <c r="E79">
        <v>1</v>
      </c>
      <c r="F79">
        <v>3</v>
      </c>
    </row>
    <row r="80" spans="1:6" x14ac:dyDescent="0.3">
      <c r="A80" t="s">
        <v>43</v>
      </c>
      <c r="B80" t="s">
        <v>1055</v>
      </c>
      <c r="C80">
        <v>1171.42</v>
      </c>
      <c r="D80">
        <v>372.47</v>
      </c>
      <c r="E80">
        <v>1</v>
      </c>
      <c r="F80">
        <v>7</v>
      </c>
    </row>
    <row r="81" spans="1:6" x14ac:dyDescent="0.3">
      <c r="A81" t="s">
        <v>43</v>
      </c>
      <c r="B81" t="s">
        <v>1056</v>
      </c>
      <c r="C81">
        <v>3043.92</v>
      </c>
      <c r="D81">
        <v>836.17000000000007</v>
      </c>
      <c r="E81">
        <v>3</v>
      </c>
      <c r="F81">
        <v>5</v>
      </c>
    </row>
    <row r="82" spans="1:6" x14ac:dyDescent="0.3">
      <c r="A82" t="s">
        <v>43</v>
      </c>
      <c r="B82" t="s">
        <v>1057</v>
      </c>
      <c r="C82">
        <v>1269.94</v>
      </c>
      <c r="D82">
        <v>439</v>
      </c>
      <c r="E82">
        <v>2</v>
      </c>
      <c r="F82">
        <v>5</v>
      </c>
    </row>
    <row r="83" spans="1:6" x14ac:dyDescent="0.3">
      <c r="A83" t="s">
        <v>43</v>
      </c>
      <c r="B83" t="s">
        <v>1069</v>
      </c>
      <c r="C83">
        <v>6434.71</v>
      </c>
      <c r="D83">
        <v>1817.21</v>
      </c>
      <c r="E83">
        <v>7</v>
      </c>
      <c r="F83">
        <v>7</v>
      </c>
    </row>
    <row r="84" spans="1:6" x14ac:dyDescent="0.3">
      <c r="A84" t="s">
        <v>43</v>
      </c>
      <c r="B84" t="s">
        <v>1058</v>
      </c>
      <c r="C84">
        <v>2631.25</v>
      </c>
      <c r="D84">
        <v>942.72</v>
      </c>
      <c r="E84">
        <v>2</v>
      </c>
      <c r="F84">
        <v>4</v>
      </c>
    </row>
    <row r="85" spans="1:6" x14ac:dyDescent="0.3">
      <c r="A85" t="s">
        <v>43</v>
      </c>
      <c r="B85" t="s">
        <v>1059</v>
      </c>
      <c r="C85">
        <v>1201.2</v>
      </c>
      <c r="D85">
        <v>329.23</v>
      </c>
      <c r="E85">
        <v>1</v>
      </c>
      <c r="F85">
        <v>8</v>
      </c>
    </row>
    <row r="86" spans="1:6" x14ac:dyDescent="0.3">
      <c r="A86" t="s">
        <v>43</v>
      </c>
      <c r="B86" t="s">
        <v>1070</v>
      </c>
      <c r="C86">
        <v>7486.09</v>
      </c>
      <c r="D86">
        <v>2363.9299999999998</v>
      </c>
      <c r="E86">
        <v>5</v>
      </c>
      <c r="F86">
        <v>3</v>
      </c>
    </row>
    <row r="87" spans="1:6" x14ac:dyDescent="0.3">
      <c r="A87" t="s">
        <v>43</v>
      </c>
      <c r="B87" t="s">
        <v>1060</v>
      </c>
      <c r="C87">
        <v>1381.76</v>
      </c>
      <c r="D87">
        <v>269.22000000000003</v>
      </c>
      <c r="E87">
        <v>1</v>
      </c>
      <c r="F87">
        <v>6</v>
      </c>
    </row>
    <row r="88" spans="1:6" x14ac:dyDescent="0.3">
      <c r="A88" t="s">
        <v>43</v>
      </c>
      <c r="B88" t="s">
        <v>1061</v>
      </c>
      <c r="C88">
        <v>338.16</v>
      </c>
      <c r="D88">
        <v>134.77000000000001</v>
      </c>
      <c r="E88">
        <v>1</v>
      </c>
      <c r="F88">
        <v>4</v>
      </c>
    </row>
    <row r="89" spans="1:6" x14ac:dyDescent="0.3">
      <c r="A89" t="s">
        <v>43</v>
      </c>
      <c r="B89" t="s">
        <v>1062</v>
      </c>
      <c r="C89">
        <v>3025.92</v>
      </c>
      <c r="D89">
        <v>866.08</v>
      </c>
      <c r="E89">
        <v>3</v>
      </c>
      <c r="F89">
        <v>7</v>
      </c>
    </row>
    <row r="90" spans="1:6" x14ac:dyDescent="0.3">
      <c r="A90" t="s">
        <v>43</v>
      </c>
      <c r="B90" t="s">
        <v>1063</v>
      </c>
      <c r="C90">
        <v>3405.03</v>
      </c>
      <c r="D90">
        <v>884.06</v>
      </c>
      <c r="E90">
        <v>4</v>
      </c>
      <c r="F90">
        <v>7</v>
      </c>
    </row>
    <row r="91" spans="1:6" x14ac:dyDescent="0.3">
      <c r="A91" t="s">
        <v>43</v>
      </c>
      <c r="B91" t="s">
        <v>1064</v>
      </c>
      <c r="C91">
        <v>263.04000000000002</v>
      </c>
      <c r="D91">
        <v>41.4</v>
      </c>
      <c r="E91">
        <v>1</v>
      </c>
      <c r="F91">
        <v>8</v>
      </c>
    </row>
    <row r="92" spans="1:6" x14ac:dyDescent="0.3">
      <c r="A92" t="s">
        <v>43</v>
      </c>
      <c r="B92" t="s">
        <v>1065</v>
      </c>
      <c r="C92">
        <v>168.63</v>
      </c>
      <c r="D92">
        <v>41.07</v>
      </c>
      <c r="E92">
        <v>1</v>
      </c>
      <c r="F92">
        <v>9</v>
      </c>
    </row>
    <row r="93" spans="1:6" x14ac:dyDescent="0.3">
      <c r="A93" t="s">
        <v>43</v>
      </c>
      <c r="B93" t="s">
        <v>1067</v>
      </c>
      <c r="C93">
        <v>1172.08</v>
      </c>
      <c r="D93">
        <v>375.08</v>
      </c>
      <c r="E93">
        <v>1</v>
      </c>
      <c r="F93">
        <v>7</v>
      </c>
    </row>
    <row r="94" spans="1:6" x14ac:dyDescent="0.3">
      <c r="A94" t="s">
        <v>43</v>
      </c>
      <c r="B94" t="s">
        <v>1071</v>
      </c>
      <c r="C94">
        <v>1027.68</v>
      </c>
      <c r="D94">
        <v>357.73</v>
      </c>
      <c r="E94">
        <v>1</v>
      </c>
      <c r="F94">
        <v>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F1111-0BF0-4F5B-A535-42D905A49746}">
  <dimension ref="A3:O23"/>
  <sheetViews>
    <sheetView topLeftCell="A2" workbookViewId="0">
      <selection activeCell="A3" sqref="A3"/>
    </sheetView>
  </sheetViews>
  <sheetFormatPr defaultRowHeight="14.4" x14ac:dyDescent="0.3"/>
  <cols>
    <col min="1" max="1" width="12.5546875" bestFit="1" customWidth="1"/>
    <col min="2" max="2" width="17" bestFit="1" customWidth="1"/>
    <col min="3" max="3" width="17.5546875" bestFit="1" customWidth="1"/>
    <col min="4" max="4" width="17" bestFit="1" customWidth="1"/>
    <col min="5" max="5" width="17.5546875" bestFit="1" customWidth="1"/>
    <col min="6" max="6" width="17" bestFit="1" customWidth="1"/>
    <col min="7" max="7" width="17.5546875" bestFit="1" customWidth="1"/>
    <col min="8" max="8" width="17" bestFit="1" customWidth="1"/>
    <col min="9" max="9" width="17.5546875" bestFit="1" customWidth="1"/>
    <col min="10" max="10" width="17" bestFit="1" customWidth="1"/>
    <col min="11" max="11" width="17.5546875" bestFit="1" customWidth="1"/>
    <col min="12" max="12" width="17" bestFit="1" customWidth="1"/>
    <col min="13" max="13" width="17.5546875" bestFit="1" customWidth="1"/>
    <col min="14" max="14" width="21.88671875" bestFit="1" customWidth="1"/>
    <col min="15" max="15" width="22.33203125" bestFit="1" customWidth="1"/>
  </cols>
  <sheetData>
    <row r="3" spans="1:15" x14ac:dyDescent="0.3">
      <c r="B3" s="19" t="s">
        <v>1076</v>
      </c>
    </row>
    <row r="4" spans="1:15" x14ac:dyDescent="0.3">
      <c r="B4" t="s">
        <v>108</v>
      </c>
      <c r="D4" t="s">
        <v>66</v>
      </c>
      <c r="F4" t="s">
        <v>30</v>
      </c>
      <c r="H4" t="s">
        <v>22</v>
      </c>
      <c r="J4" t="s">
        <v>173</v>
      </c>
      <c r="L4" t="s">
        <v>43</v>
      </c>
      <c r="N4" t="s">
        <v>1078</v>
      </c>
      <c r="O4" t="s">
        <v>1079</v>
      </c>
    </row>
    <row r="5" spans="1:15" x14ac:dyDescent="0.3">
      <c r="A5" s="19" t="s">
        <v>1074</v>
      </c>
      <c r="B5" t="s">
        <v>1077</v>
      </c>
      <c r="C5" t="s">
        <v>1080</v>
      </c>
      <c r="D5" t="s">
        <v>1077</v>
      </c>
      <c r="E5" t="s">
        <v>1080</v>
      </c>
      <c r="F5" t="s">
        <v>1077</v>
      </c>
      <c r="G5" t="s">
        <v>1080</v>
      </c>
      <c r="H5" t="s">
        <v>1077</v>
      </c>
      <c r="I5" t="s">
        <v>1080</v>
      </c>
      <c r="J5" t="s">
        <v>1077</v>
      </c>
      <c r="K5" t="s">
        <v>1080</v>
      </c>
      <c r="L5" t="s">
        <v>1077</v>
      </c>
      <c r="M5" t="s">
        <v>1080</v>
      </c>
    </row>
    <row r="6" spans="1:15" x14ac:dyDescent="0.3">
      <c r="A6" s="20" t="s">
        <v>1068</v>
      </c>
      <c r="B6" s="21"/>
      <c r="C6" s="21"/>
      <c r="D6" s="21">
        <v>12118.86</v>
      </c>
      <c r="E6" s="21">
        <v>2799.31</v>
      </c>
      <c r="F6" s="21">
        <v>5963.8</v>
      </c>
      <c r="G6" s="21">
        <v>1573.73</v>
      </c>
      <c r="H6" s="21">
        <v>4059.57</v>
      </c>
      <c r="I6" s="21">
        <v>1247.83</v>
      </c>
      <c r="J6" s="21">
        <v>656.88</v>
      </c>
      <c r="K6" s="21">
        <v>167.02</v>
      </c>
      <c r="L6" s="21">
        <v>843.2</v>
      </c>
      <c r="M6" s="21">
        <v>266.39</v>
      </c>
      <c r="N6" s="21">
        <v>23642.31</v>
      </c>
      <c r="O6" s="21">
        <v>6054.2800000000007</v>
      </c>
    </row>
    <row r="7" spans="1:15" x14ac:dyDescent="0.3">
      <c r="A7" s="20" t="s">
        <v>1055</v>
      </c>
      <c r="B7" s="21">
        <v>3778.57</v>
      </c>
      <c r="C7" s="21">
        <v>1212.1199999999999</v>
      </c>
      <c r="D7" s="21">
        <v>8766.07</v>
      </c>
      <c r="E7" s="21">
        <v>2416.6</v>
      </c>
      <c r="F7" s="21">
        <v>10805.59</v>
      </c>
      <c r="G7" s="21">
        <v>3570.55</v>
      </c>
      <c r="H7" s="21">
        <v>5390.3499999999995</v>
      </c>
      <c r="I7" s="21">
        <v>1662.29</v>
      </c>
      <c r="J7" s="21"/>
      <c r="K7" s="21"/>
      <c r="L7" s="21">
        <v>1171.42</v>
      </c>
      <c r="M7" s="21">
        <v>372.47</v>
      </c>
      <c r="N7" s="21">
        <v>29912</v>
      </c>
      <c r="O7" s="21">
        <v>9234.0300000000007</v>
      </c>
    </row>
    <row r="8" spans="1:15" x14ac:dyDescent="0.3">
      <c r="A8" s="20" t="s">
        <v>1056</v>
      </c>
      <c r="B8" s="21">
        <v>3519.18</v>
      </c>
      <c r="C8" s="21">
        <v>910.68</v>
      </c>
      <c r="D8" s="21">
        <v>7955.66</v>
      </c>
      <c r="E8" s="21">
        <v>2329.09</v>
      </c>
      <c r="F8" s="21">
        <v>5417.25</v>
      </c>
      <c r="G8" s="21">
        <v>1555.47</v>
      </c>
      <c r="H8" s="21">
        <v>1064.19</v>
      </c>
      <c r="I8" s="21">
        <v>388.91</v>
      </c>
      <c r="J8" s="21">
        <v>6450.38</v>
      </c>
      <c r="K8" s="21">
        <v>1428.65</v>
      </c>
      <c r="L8" s="21">
        <v>3043.92</v>
      </c>
      <c r="M8" s="21">
        <v>836.17000000000007</v>
      </c>
      <c r="N8" s="21">
        <v>27450.58</v>
      </c>
      <c r="O8" s="21">
        <v>7448.9699999999993</v>
      </c>
    </row>
    <row r="9" spans="1:15" x14ac:dyDescent="0.3">
      <c r="A9" s="20" t="s">
        <v>1057</v>
      </c>
      <c r="B9" s="21">
        <v>1765.51</v>
      </c>
      <c r="C9" s="21">
        <v>530.96</v>
      </c>
      <c r="D9" s="21">
        <v>5871.72</v>
      </c>
      <c r="E9" s="21">
        <v>1889.51</v>
      </c>
      <c r="F9" s="21">
        <v>3447.44</v>
      </c>
      <c r="G9" s="21">
        <v>997.16000000000008</v>
      </c>
      <c r="H9" s="21">
        <v>1721.74</v>
      </c>
      <c r="I9" s="21">
        <v>465.98</v>
      </c>
      <c r="J9" s="21"/>
      <c r="K9" s="21"/>
      <c r="L9" s="21">
        <v>1269.94</v>
      </c>
      <c r="M9" s="21">
        <v>439</v>
      </c>
      <c r="N9" s="21">
        <v>14076.35</v>
      </c>
      <c r="O9" s="21">
        <v>4322.6100000000006</v>
      </c>
    </row>
    <row r="10" spans="1:15" x14ac:dyDescent="0.3">
      <c r="A10" s="20" t="s">
        <v>1069</v>
      </c>
      <c r="B10" s="21"/>
      <c r="C10" s="21"/>
      <c r="D10" s="21">
        <v>5008.9399999999996</v>
      </c>
      <c r="E10" s="21">
        <v>1129.83</v>
      </c>
      <c r="F10" s="21">
        <v>2680.99</v>
      </c>
      <c r="G10" s="21">
        <v>567.59</v>
      </c>
      <c r="H10" s="21">
        <v>8874.1</v>
      </c>
      <c r="I10" s="21">
        <v>2315.96</v>
      </c>
      <c r="J10" s="21">
        <v>2045.91</v>
      </c>
      <c r="K10" s="21">
        <v>418.73</v>
      </c>
      <c r="L10" s="21">
        <v>6434.71</v>
      </c>
      <c r="M10" s="21">
        <v>1817.21</v>
      </c>
      <c r="N10" s="21">
        <v>25044.649999999998</v>
      </c>
      <c r="O10" s="21">
        <v>6249.3200000000006</v>
      </c>
    </row>
    <row r="11" spans="1:15" x14ac:dyDescent="0.3">
      <c r="A11" s="20" t="s">
        <v>1058</v>
      </c>
      <c r="B11" s="21">
        <v>4768.72</v>
      </c>
      <c r="C11" s="21">
        <v>1717.12</v>
      </c>
      <c r="D11" s="21">
        <v>8767.11</v>
      </c>
      <c r="E11" s="21">
        <v>2622.31</v>
      </c>
      <c r="F11" s="21">
        <v>15432.12</v>
      </c>
      <c r="G11" s="21">
        <v>4593.17</v>
      </c>
      <c r="H11" s="21">
        <v>4737.55</v>
      </c>
      <c r="I11" s="21">
        <v>1543.71</v>
      </c>
      <c r="J11" s="21">
        <v>2355.85</v>
      </c>
      <c r="K11" s="21">
        <v>356.88</v>
      </c>
      <c r="L11" s="21">
        <v>2631.25</v>
      </c>
      <c r="M11" s="21">
        <v>942.72</v>
      </c>
      <c r="N11" s="21">
        <v>38692.600000000006</v>
      </c>
      <c r="O11" s="21">
        <v>11775.91</v>
      </c>
    </row>
    <row r="12" spans="1:15" x14ac:dyDescent="0.3">
      <c r="A12" s="20" t="s">
        <v>1059</v>
      </c>
      <c r="B12" s="21">
        <v>751.14</v>
      </c>
      <c r="C12" s="21">
        <v>168.93</v>
      </c>
      <c r="D12" s="21">
        <v>13074.39</v>
      </c>
      <c r="E12" s="21">
        <v>3550.23</v>
      </c>
      <c r="F12" s="21">
        <v>10623.02</v>
      </c>
      <c r="G12" s="21">
        <v>3155.49</v>
      </c>
      <c r="H12" s="21">
        <v>2262.48</v>
      </c>
      <c r="I12" s="21">
        <v>463.63</v>
      </c>
      <c r="J12" s="21">
        <v>2376.6799999999998</v>
      </c>
      <c r="K12" s="21">
        <v>773.68</v>
      </c>
      <c r="L12" s="21">
        <v>1201.2</v>
      </c>
      <c r="M12" s="21">
        <v>329.23</v>
      </c>
      <c r="N12" s="21">
        <v>30288.91</v>
      </c>
      <c r="O12" s="21">
        <v>8441.19</v>
      </c>
    </row>
    <row r="13" spans="1:15" x14ac:dyDescent="0.3">
      <c r="A13" s="20" t="s">
        <v>1070</v>
      </c>
      <c r="B13" s="21"/>
      <c r="C13" s="21"/>
      <c r="D13" s="21">
        <v>12111.05</v>
      </c>
      <c r="E13" s="21">
        <v>3346.91</v>
      </c>
      <c r="F13" s="21">
        <v>6538.51</v>
      </c>
      <c r="G13" s="21">
        <v>1686.63</v>
      </c>
      <c r="H13" s="21">
        <v>2443.42</v>
      </c>
      <c r="I13" s="21">
        <v>578.91999999999996</v>
      </c>
      <c r="J13" s="21"/>
      <c r="K13" s="21"/>
      <c r="L13" s="21">
        <v>7486.09</v>
      </c>
      <c r="M13" s="21">
        <v>2363.9299999999998</v>
      </c>
      <c r="N13" s="21">
        <v>28579.069999999996</v>
      </c>
      <c r="O13" s="21">
        <v>7976.3899999999994</v>
      </c>
    </row>
    <row r="14" spans="1:15" x14ac:dyDescent="0.3">
      <c r="A14" s="20" t="s">
        <v>1060</v>
      </c>
      <c r="B14" s="21">
        <v>2704.41</v>
      </c>
      <c r="C14" s="21">
        <v>772.61</v>
      </c>
      <c r="D14" s="21">
        <v>14892.08</v>
      </c>
      <c r="E14" s="21">
        <v>4197.32</v>
      </c>
      <c r="F14" s="21">
        <v>4338.0200000000004</v>
      </c>
      <c r="G14" s="21">
        <v>941.58999999999992</v>
      </c>
      <c r="H14" s="21">
        <v>5589.5999999999995</v>
      </c>
      <c r="I14" s="21">
        <v>1545.11</v>
      </c>
      <c r="J14" s="21">
        <v>2832.86</v>
      </c>
      <c r="K14" s="21">
        <v>661.32999999999993</v>
      </c>
      <c r="L14" s="21">
        <v>1381.76</v>
      </c>
      <c r="M14" s="21">
        <v>269.22000000000003</v>
      </c>
      <c r="N14" s="21">
        <v>31738.729999999996</v>
      </c>
      <c r="O14" s="21">
        <v>8387.1799999999985</v>
      </c>
    </row>
    <row r="15" spans="1:15" x14ac:dyDescent="0.3">
      <c r="A15" s="20" t="s">
        <v>1061</v>
      </c>
      <c r="B15" s="21">
        <v>908.84</v>
      </c>
      <c r="C15" s="21">
        <v>264.43</v>
      </c>
      <c r="D15" s="21">
        <v>8946.65</v>
      </c>
      <c r="E15" s="21">
        <v>3064.47</v>
      </c>
      <c r="F15" s="21">
        <v>6894.59</v>
      </c>
      <c r="G15" s="21">
        <v>2046.19</v>
      </c>
      <c r="H15" s="21">
        <v>7347.76</v>
      </c>
      <c r="I15" s="21">
        <v>1856.14</v>
      </c>
      <c r="J15" s="21">
        <v>935.88</v>
      </c>
      <c r="K15" s="21">
        <v>186.51</v>
      </c>
      <c r="L15" s="21">
        <v>338.16</v>
      </c>
      <c r="M15" s="21">
        <v>134.77000000000001</v>
      </c>
      <c r="N15" s="21">
        <v>25371.880000000005</v>
      </c>
      <c r="O15" s="21">
        <v>7552.5100000000011</v>
      </c>
    </row>
    <row r="16" spans="1:15" x14ac:dyDescent="0.3">
      <c r="A16" s="20" t="s">
        <v>1062</v>
      </c>
      <c r="B16" s="21">
        <v>794.82</v>
      </c>
      <c r="C16" s="21">
        <v>255.37</v>
      </c>
      <c r="D16" s="21">
        <v>13730.81</v>
      </c>
      <c r="E16" s="21">
        <v>3430.89</v>
      </c>
      <c r="F16" s="21">
        <v>6006.6500000000005</v>
      </c>
      <c r="G16" s="21">
        <v>1368.08</v>
      </c>
      <c r="H16" s="21">
        <v>6488.83</v>
      </c>
      <c r="I16" s="21">
        <v>1394.89</v>
      </c>
      <c r="J16" s="21">
        <v>1719.38</v>
      </c>
      <c r="K16" s="21">
        <v>447.82000000000011</v>
      </c>
      <c r="L16" s="21">
        <v>3025.92</v>
      </c>
      <c r="M16" s="21">
        <v>866.08</v>
      </c>
      <c r="N16" s="21">
        <v>31766.410000000003</v>
      </c>
      <c r="O16" s="21">
        <v>7763.13</v>
      </c>
    </row>
    <row r="17" spans="1:15" x14ac:dyDescent="0.3">
      <c r="A17" s="20" t="s">
        <v>1063</v>
      </c>
      <c r="B17" s="21">
        <v>1882.75</v>
      </c>
      <c r="C17" s="21">
        <v>346.8</v>
      </c>
      <c r="D17" s="21">
        <v>11679.03</v>
      </c>
      <c r="E17" s="21">
        <v>3081.7</v>
      </c>
      <c r="F17" s="21">
        <v>5718.61</v>
      </c>
      <c r="G17" s="21">
        <v>1342.18</v>
      </c>
      <c r="H17" s="21">
        <v>13213.87</v>
      </c>
      <c r="I17" s="21">
        <v>3606.27</v>
      </c>
      <c r="J17" s="21">
        <v>3220</v>
      </c>
      <c r="K17" s="21">
        <v>1219.8900000000001</v>
      </c>
      <c r="L17" s="21">
        <v>3405.03</v>
      </c>
      <c r="M17" s="21">
        <v>884.06</v>
      </c>
      <c r="N17" s="21">
        <v>39119.29</v>
      </c>
      <c r="O17" s="21">
        <v>10480.9</v>
      </c>
    </row>
    <row r="18" spans="1:15" x14ac:dyDescent="0.3">
      <c r="A18" s="20" t="s">
        <v>1064</v>
      </c>
      <c r="B18" s="21">
        <v>3269.37</v>
      </c>
      <c r="C18" s="21">
        <v>1085.4100000000001</v>
      </c>
      <c r="D18" s="21">
        <v>9897.75</v>
      </c>
      <c r="E18" s="21">
        <v>2652.22</v>
      </c>
      <c r="F18" s="21">
        <v>8016.39</v>
      </c>
      <c r="G18" s="21">
        <v>2485.71</v>
      </c>
      <c r="H18" s="21">
        <v>2048.6</v>
      </c>
      <c r="I18" s="21">
        <v>626.04999999999995</v>
      </c>
      <c r="J18" s="21">
        <v>1567.87</v>
      </c>
      <c r="K18" s="21">
        <v>518.99</v>
      </c>
      <c r="L18" s="21">
        <v>263.04000000000002</v>
      </c>
      <c r="M18" s="21">
        <v>41.4</v>
      </c>
      <c r="N18" s="21">
        <v>25063.019999999997</v>
      </c>
      <c r="O18" s="21">
        <v>7409.78</v>
      </c>
    </row>
    <row r="19" spans="1:15" x14ac:dyDescent="0.3">
      <c r="A19" s="20" t="s">
        <v>1065</v>
      </c>
      <c r="B19" s="21">
        <v>412.62</v>
      </c>
      <c r="C19" s="21">
        <v>155.44</v>
      </c>
      <c r="D19" s="21">
        <v>5404.6900000000014</v>
      </c>
      <c r="E19" s="21">
        <v>1469.09</v>
      </c>
      <c r="F19" s="21">
        <v>5431.37</v>
      </c>
      <c r="G19" s="21">
        <v>1032.25</v>
      </c>
      <c r="H19" s="21">
        <v>9137.09</v>
      </c>
      <c r="I19" s="21">
        <v>3200.92</v>
      </c>
      <c r="J19" s="21">
        <v>4977.83</v>
      </c>
      <c r="K19" s="21">
        <v>1410.15</v>
      </c>
      <c r="L19" s="21">
        <v>168.63</v>
      </c>
      <c r="M19" s="21">
        <v>41.07</v>
      </c>
      <c r="N19" s="21">
        <v>25532.23</v>
      </c>
      <c r="O19" s="21">
        <v>7308.92</v>
      </c>
    </row>
    <row r="20" spans="1:15" x14ac:dyDescent="0.3">
      <c r="A20" s="20" t="s">
        <v>1066</v>
      </c>
      <c r="B20" s="21">
        <v>2964.8</v>
      </c>
      <c r="C20" s="21">
        <v>920.04</v>
      </c>
      <c r="D20" s="21">
        <v>11784.96</v>
      </c>
      <c r="E20" s="21">
        <v>3759.57</v>
      </c>
      <c r="F20" s="21">
        <v>9021.380000000001</v>
      </c>
      <c r="G20" s="21">
        <v>3026.61</v>
      </c>
      <c r="H20" s="21">
        <v>3271.86</v>
      </c>
      <c r="I20" s="21">
        <v>762.28</v>
      </c>
      <c r="J20" s="21">
        <v>5111.88</v>
      </c>
      <c r="K20" s="21">
        <v>1879.68</v>
      </c>
      <c r="L20" s="21"/>
      <c r="M20" s="21"/>
      <c r="N20" s="21">
        <v>32154.880000000001</v>
      </c>
      <c r="O20" s="21">
        <v>10348.180000000002</v>
      </c>
    </row>
    <row r="21" spans="1:15" x14ac:dyDescent="0.3">
      <c r="A21" s="20" t="s">
        <v>1067</v>
      </c>
      <c r="B21" s="21">
        <v>1974.31</v>
      </c>
      <c r="C21" s="21">
        <v>627.41</v>
      </c>
      <c r="D21" s="21">
        <v>16779.43</v>
      </c>
      <c r="E21" s="21">
        <v>5047.63</v>
      </c>
      <c r="F21" s="21">
        <v>7453.18</v>
      </c>
      <c r="G21" s="21">
        <v>1835.78</v>
      </c>
      <c r="H21" s="21">
        <v>6394.1900000000014</v>
      </c>
      <c r="I21" s="21">
        <v>1658.61</v>
      </c>
      <c r="J21" s="21">
        <v>2766.06</v>
      </c>
      <c r="K21" s="21">
        <v>693.37</v>
      </c>
      <c r="L21" s="21">
        <v>1172.08</v>
      </c>
      <c r="M21" s="21">
        <v>375.08</v>
      </c>
      <c r="N21" s="21">
        <v>36539.250000000007</v>
      </c>
      <c r="O21" s="21">
        <v>10237.880000000001</v>
      </c>
    </row>
    <row r="22" spans="1:15" x14ac:dyDescent="0.3">
      <c r="A22" s="20" t="s">
        <v>1071</v>
      </c>
      <c r="B22" s="21"/>
      <c r="C22" s="21"/>
      <c r="D22" s="21">
        <v>4379.2</v>
      </c>
      <c r="E22" s="21">
        <v>1129.18</v>
      </c>
      <c r="F22" s="21">
        <v>1425.71</v>
      </c>
      <c r="G22" s="21">
        <v>356.57</v>
      </c>
      <c r="H22" s="21">
        <v>2899.87</v>
      </c>
      <c r="I22" s="21">
        <v>735.74</v>
      </c>
      <c r="J22" s="21"/>
      <c r="K22" s="21"/>
      <c r="L22" s="21">
        <v>1027.68</v>
      </c>
      <c r="M22" s="21">
        <v>357.73</v>
      </c>
      <c r="N22" s="21">
        <v>9732.4599999999991</v>
      </c>
      <c r="O22" s="21">
        <v>2579.2199999999998</v>
      </c>
    </row>
    <row r="23" spans="1:15" x14ac:dyDescent="0.3">
      <c r="A23" s="20" t="s">
        <v>1075</v>
      </c>
      <c r="B23" s="21">
        <v>29495.039999999997</v>
      </c>
      <c r="C23" s="21">
        <v>8967.32</v>
      </c>
      <c r="D23" s="21">
        <v>171168.4</v>
      </c>
      <c r="E23" s="21">
        <v>47915.859999999993</v>
      </c>
      <c r="F23" s="21">
        <v>115214.62000000001</v>
      </c>
      <c r="G23" s="21">
        <v>32134.75</v>
      </c>
      <c r="H23" s="21">
        <v>86945.07</v>
      </c>
      <c r="I23" s="21">
        <v>24053.24</v>
      </c>
      <c r="J23" s="21">
        <v>37017.46</v>
      </c>
      <c r="K23" s="21">
        <v>10162.700000000001</v>
      </c>
      <c r="L23" s="21">
        <v>34864.03</v>
      </c>
      <c r="M23" s="21">
        <v>10336.530000000001</v>
      </c>
      <c r="N23" s="21">
        <v>474704.62</v>
      </c>
      <c r="O23" s="21">
        <v>133570.4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647511-35B0-42A6-AC6A-8C45FB4AA9EA}">
  <dimension ref="A1:F94"/>
  <sheetViews>
    <sheetView workbookViewId="0">
      <selection sqref="A1:F94"/>
    </sheetView>
  </sheetViews>
  <sheetFormatPr defaultRowHeight="14.4" x14ac:dyDescent="0.3"/>
  <cols>
    <col min="1" max="1" width="12.109375" bestFit="1" customWidth="1"/>
    <col min="2" max="2" width="7.6640625" bestFit="1" customWidth="1"/>
    <col min="3" max="3" width="10.44140625" bestFit="1" customWidth="1"/>
    <col min="4" max="4" width="10.88671875" bestFit="1" customWidth="1"/>
    <col min="5" max="5" width="9.88671875" bestFit="1" customWidth="1"/>
  </cols>
  <sheetData>
    <row r="1" spans="1:6" x14ac:dyDescent="0.3">
      <c r="A1" s="11" t="s">
        <v>13</v>
      </c>
      <c r="B1" s="11" t="s">
        <v>1051</v>
      </c>
      <c r="C1" s="11" t="s">
        <v>8</v>
      </c>
      <c r="D1" s="11" t="s">
        <v>1052</v>
      </c>
      <c r="E1" s="11" t="s">
        <v>1053</v>
      </c>
      <c r="F1" s="11" t="s">
        <v>1054</v>
      </c>
    </row>
    <row r="2" spans="1:6" x14ac:dyDescent="0.3">
      <c r="A2" t="s">
        <v>108</v>
      </c>
      <c r="B2" t="s">
        <v>1055</v>
      </c>
      <c r="C2">
        <v>3778.57</v>
      </c>
      <c r="D2">
        <v>1212.1199999999999</v>
      </c>
      <c r="E2">
        <v>3</v>
      </c>
      <c r="F2">
        <v>5</v>
      </c>
    </row>
    <row r="3" spans="1:6" x14ac:dyDescent="0.3">
      <c r="A3" t="s">
        <v>108</v>
      </c>
      <c r="B3" t="s">
        <v>1056</v>
      </c>
      <c r="C3">
        <v>3519.18</v>
      </c>
      <c r="D3">
        <v>910.68</v>
      </c>
      <c r="E3">
        <v>2</v>
      </c>
      <c r="F3">
        <v>3</v>
      </c>
    </row>
    <row r="4" spans="1:6" x14ac:dyDescent="0.3">
      <c r="A4" t="s">
        <v>108</v>
      </c>
      <c r="B4" t="s">
        <v>1057</v>
      </c>
      <c r="C4">
        <v>1765.51</v>
      </c>
      <c r="D4">
        <v>530.96</v>
      </c>
      <c r="E4">
        <v>2</v>
      </c>
      <c r="F4">
        <v>4</v>
      </c>
    </row>
    <row r="5" spans="1:6" x14ac:dyDescent="0.3">
      <c r="A5" t="s">
        <v>108</v>
      </c>
      <c r="B5" t="s">
        <v>1058</v>
      </c>
      <c r="C5">
        <v>4768.72</v>
      </c>
      <c r="D5">
        <v>1717.12</v>
      </c>
      <c r="E5">
        <v>3</v>
      </c>
      <c r="F5">
        <v>7</v>
      </c>
    </row>
    <row r="6" spans="1:6" x14ac:dyDescent="0.3">
      <c r="A6" t="s">
        <v>108</v>
      </c>
      <c r="B6" t="s">
        <v>1059</v>
      </c>
      <c r="C6">
        <v>751.14</v>
      </c>
      <c r="D6">
        <v>168.93</v>
      </c>
      <c r="E6">
        <v>4</v>
      </c>
      <c r="F6">
        <v>8</v>
      </c>
    </row>
    <row r="7" spans="1:6" x14ac:dyDescent="0.3">
      <c r="A7" t="s">
        <v>108</v>
      </c>
      <c r="B7" t="s">
        <v>1060</v>
      </c>
      <c r="C7">
        <v>2704.41</v>
      </c>
      <c r="D7">
        <v>772.61</v>
      </c>
      <c r="E7">
        <v>3</v>
      </c>
      <c r="F7">
        <v>5</v>
      </c>
    </row>
    <row r="8" spans="1:6" x14ac:dyDescent="0.3">
      <c r="A8" t="s">
        <v>108</v>
      </c>
      <c r="B8" t="s">
        <v>1061</v>
      </c>
      <c r="C8">
        <v>908.84</v>
      </c>
      <c r="D8">
        <v>264.43</v>
      </c>
      <c r="E8">
        <v>2</v>
      </c>
      <c r="F8">
        <v>6</v>
      </c>
    </row>
    <row r="9" spans="1:6" x14ac:dyDescent="0.3">
      <c r="A9" t="s">
        <v>108</v>
      </c>
      <c r="B9" t="s">
        <v>1062</v>
      </c>
      <c r="C9">
        <v>794.82</v>
      </c>
      <c r="D9">
        <v>255.37</v>
      </c>
      <c r="E9">
        <v>1</v>
      </c>
      <c r="F9">
        <v>7</v>
      </c>
    </row>
    <row r="10" spans="1:6" x14ac:dyDescent="0.3">
      <c r="A10" t="s">
        <v>108</v>
      </c>
      <c r="B10" t="s">
        <v>1063</v>
      </c>
      <c r="C10">
        <v>1882.75</v>
      </c>
      <c r="D10">
        <v>346.8</v>
      </c>
      <c r="E10">
        <v>4</v>
      </c>
      <c r="F10">
        <v>3</v>
      </c>
    </row>
    <row r="11" spans="1:6" x14ac:dyDescent="0.3">
      <c r="A11" t="s">
        <v>108</v>
      </c>
      <c r="B11" t="s">
        <v>1064</v>
      </c>
      <c r="C11">
        <v>3269.37</v>
      </c>
      <c r="D11">
        <v>1085.4100000000001</v>
      </c>
      <c r="E11">
        <v>2</v>
      </c>
      <c r="F11">
        <v>2</v>
      </c>
    </row>
    <row r="12" spans="1:6" x14ac:dyDescent="0.3">
      <c r="A12" t="s">
        <v>108</v>
      </c>
      <c r="B12" t="s">
        <v>1065</v>
      </c>
      <c r="C12">
        <v>412.62</v>
      </c>
      <c r="D12">
        <v>155.44</v>
      </c>
      <c r="E12">
        <v>1</v>
      </c>
      <c r="F12">
        <v>8</v>
      </c>
    </row>
    <row r="13" spans="1:6" x14ac:dyDescent="0.3">
      <c r="A13" t="s">
        <v>108</v>
      </c>
      <c r="B13" t="s">
        <v>1066</v>
      </c>
      <c r="C13">
        <v>2964.8</v>
      </c>
      <c r="D13">
        <v>920.04</v>
      </c>
      <c r="E13">
        <v>4</v>
      </c>
      <c r="F13">
        <v>4</v>
      </c>
    </row>
    <row r="14" spans="1:6" x14ac:dyDescent="0.3">
      <c r="A14" t="s">
        <v>108</v>
      </c>
      <c r="B14" t="s">
        <v>1067</v>
      </c>
      <c r="C14">
        <v>1974.31</v>
      </c>
      <c r="D14">
        <v>627.41</v>
      </c>
      <c r="E14">
        <v>2</v>
      </c>
      <c r="F14">
        <v>9</v>
      </c>
    </row>
    <row r="15" spans="1:6" x14ac:dyDescent="0.3">
      <c r="A15" t="s">
        <v>66</v>
      </c>
      <c r="B15" t="s">
        <v>1068</v>
      </c>
      <c r="C15">
        <v>12118.86</v>
      </c>
      <c r="D15">
        <v>2799.31</v>
      </c>
      <c r="E15">
        <v>11</v>
      </c>
      <c r="F15">
        <v>5</v>
      </c>
    </row>
    <row r="16" spans="1:6" x14ac:dyDescent="0.3">
      <c r="A16" t="s">
        <v>66</v>
      </c>
      <c r="B16" t="s">
        <v>1055</v>
      </c>
      <c r="C16">
        <v>8766.07</v>
      </c>
      <c r="D16">
        <v>2416.6</v>
      </c>
      <c r="E16">
        <v>9</v>
      </c>
      <c r="F16">
        <v>6</v>
      </c>
    </row>
    <row r="17" spans="1:6" x14ac:dyDescent="0.3">
      <c r="A17" t="s">
        <v>66</v>
      </c>
      <c r="B17" t="s">
        <v>1056</v>
      </c>
      <c r="C17">
        <v>7955.66</v>
      </c>
      <c r="D17">
        <v>2329.09</v>
      </c>
      <c r="E17">
        <v>9</v>
      </c>
      <c r="F17">
        <v>1</v>
      </c>
    </row>
    <row r="18" spans="1:6" x14ac:dyDescent="0.3">
      <c r="A18" t="s">
        <v>66</v>
      </c>
      <c r="B18" t="s">
        <v>1057</v>
      </c>
      <c r="C18">
        <v>5871.72</v>
      </c>
      <c r="D18">
        <v>1889.51</v>
      </c>
      <c r="E18">
        <v>6</v>
      </c>
      <c r="F18">
        <v>1</v>
      </c>
    </row>
    <row r="19" spans="1:6" x14ac:dyDescent="0.3">
      <c r="A19" t="s">
        <v>66</v>
      </c>
      <c r="B19" t="s">
        <v>1069</v>
      </c>
      <c r="C19">
        <v>5008.9399999999996</v>
      </c>
      <c r="D19">
        <v>1129.83</v>
      </c>
      <c r="E19">
        <v>7</v>
      </c>
      <c r="F19">
        <v>8</v>
      </c>
    </row>
    <row r="20" spans="1:6" x14ac:dyDescent="0.3">
      <c r="A20" t="s">
        <v>66</v>
      </c>
      <c r="B20" t="s">
        <v>1058</v>
      </c>
      <c r="C20">
        <v>8767.11</v>
      </c>
      <c r="D20">
        <v>2622.31</v>
      </c>
      <c r="E20">
        <v>7</v>
      </c>
      <c r="F20">
        <v>3</v>
      </c>
    </row>
    <row r="21" spans="1:6" x14ac:dyDescent="0.3">
      <c r="A21" t="s">
        <v>66</v>
      </c>
      <c r="B21" t="s">
        <v>1059</v>
      </c>
      <c r="C21">
        <v>13074.39</v>
      </c>
      <c r="D21">
        <v>3550.23</v>
      </c>
      <c r="E21">
        <v>11</v>
      </c>
      <c r="F21">
        <v>2</v>
      </c>
    </row>
    <row r="22" spans="1:6" x14ac:dyDescent="0.3">
      <c r="A22" t="s">
        <v>66</v>
      </c>
      <c r="B22" t="s">
        <v>1070</v>
      </c>
      <c r="C22">
        <v>12111.05</v>
      </c>
      <c r="D22">
        <v>3346.91</v>
      </c>
      <c r="E22">
        <v>11</v>
      </c>
      <c r="F22">
        <v>1</v>
      </c>
    </row>
    <row r="23" spans="1:6" x14ac:dyDescent="0.3">
      <c r="A23" t="s">
        <v>66</v>
      </c>
      <c r="B23" t="s">
        <v>1060</v>
      </c>
      <c r="C23">
        <v>14892.08</v>
      </c>
      <c r="D23">
        <v>4197.32</v>
      </c>
      <c r="E23">
        <v>19</v>
      </c>
      <c r="F23">
        <v>1</v>
      </c>
    </row>
    <row r="24" spans="1:6" x14ac:dyDescent="0.3">
      <c r="A24" t="s">
        <v>66</v>
      </c>
      <c r="B24" t="s">
        <v>1061</v>
      </c>
      <c r="C24">
        <v>8946.65</v>
      </c>
      <c r="D24">
        <v>3064.47</v>
      </c>
      <c r="E24">
        <v>9</v>
      </c>
      <c r="F24">
        <v>9</v>
      </c>
    </row>
    <row r="25" spans="1:6" x14ac:dyDescent="0.3">
      <c r="A25" t="s">
        <v>66</v>
      </c>
      <c r="B25" t="s">
        <v>1062</v>
      </c>
      <c r="C25">
        <v>13730.81</v>
      </c>
      <c r="D25">
        <v>3430.89</v>
      </c>
      <c r="E25">
        <v>13</v>
      </c>
      <c r="F25">
        <v>8</v>
      </c>
    </row>
    <row r="26" spans="1:6" x14ac:dyDescent="0.3">
      <c r="A26" t="s">
        <v>66</v>
      </c>
      <c r="B26" t="s">
        <v>1063</v>
      </c>
      <c r="C26">
        <v>11679.03</v>
      </c>
      <c r="D26">
        <v>3081.7</v>
      </c>
      <c r="E26">
        <v>11</v>
      </c>
      <c r="F26">
        <v>3</v>
      </c>
    </row>
    <row r="27" spans="1:6" x14ac:dyDescent="0.3">
      <c r="A27" t="s">
        <v>66</v>
      </c>
      <c r="B27" t="s">
        <v>1064</v>
      </c>
      <c r="C27">
        <v>9897.75</v>
      </c>
      <c r="D27">
        <v>2652.22</v>
      </c>
      <c r="E27">
        <v>14</v>
      </c>
      <c r="F27">
        <v>5</v>
      </c>
    </row>
    <row r="28" spans="1:6" x14ac:dyDescent="0.3">
      <c r="A28" t="s">
        <v>66</v>
      </c>
      <c r="B28" t="s">
        <v>1065</v>
      </c>
      <c r="C28">
        <v>5404.6900000000014</v>
      </c>
      <c r="D28">
        <v>1469.09</v>
      </c>
      <c r="E28">
        <v>8</v>
      </c>
      <c r="F28">
        <v>3</v>
      </c>
    </row>
    <row r="29" spans="1:6" x14ac:dyDescent="0.3">
      <c r="A29" t="s">
        <v>66</v>
      </c>
      <c r="B29" t="s">
        <v>1066</v>
      </c>
      <c r="C29">
        <v>11784.96</v>
      </c>
      <c r="D29">
        <v>3759.57</v>
      </c>
      <c r="E29">
        <v>9</v>
      </c>
      <c r="F29">
        <v>5</v>
      </c>
    </row>
    <row r="30" spans="1:6" x14ac:dyDescent="0.3">
      <c r="A30" t="s">
        <v>66</v>
      </c>
      <c r="B30" t="s">
        <v>1067</v>
      </c>
      <c r="C30">
        <v>16779.43</v>
      </c>
      <c r="D30">
        <v>5047.63</v>
      </c>
      <c r="E30">
        <v>17</v>
      </c>
      <c r="F30">
        <v>8</v>
      </c>
    </row>
    <row r="31" spans="1:6" x14ac:dyDescent="0.3">
      <c r="A31" t="s">
        <v>66</v>
      </c>
      <c r="B31" t="s">
        <v>1071</v>
      </c>
      <c r="C31">
        <v>4379.2</v>
      </c>
      <c r="D31">
        <v>1129.18</v>
      </c>
      <c r="E31">
        <v>8</v>
      </c>
      <c r="F31">
        <v>1</v>
      </c>
    </row>
    <row r="32" spans="1:6" x14ac:dyDescent="0.3">
      <c r="A32" t="s">
        <v>30</v>
      </c>
      <c r="B32" t="s">
        <v>1068</v>
      </c>
      <c r="C32">
        <v>5963.8</v>
      </c>
      <c r="D32">
        <v>1573.73</v>
      </c>
      <c r="E32">
        <v>5</v>
      </c>
      <c r="F32">
        <v>5</v>
      </c>
    </row>
    <row r="33" spans="1:6" x14ac:dyDescent="0.3">
      <c r="A33" t="s">
        <v>30</v>
      </c>
      <c r="B33" t="s">
        <v>1055</v>
      </c>
      <c r="C33">
        <v>10805.59</v>
      </c>
      <c r="D33">
        <v>3570.55</v>
      </c>
      <c r="E33">
        <v>11</v>
      </c>
      <c r="F33">
        <v>1</v>
      </c>
    </row>
    <row r="34" spans="1:6" x14ac:dyDescent="0.3">
      <c r="A34" t="s">
        <v>30</v>
      </c>
      <c r="B34" t="s">
        <v>1056</v>
      </c>
      <c r="C34">
        <v>5417.25</v>
      </c>
      <c r="D34">
        <v>1555.47</v>
      </c>
      <c r="E34">
        <v>5</v>
      </c>
      <c r="F34">
        <v>7</v>
      </c>
    </row>
    <row r="35" spans="1:6" x14ac:dyDescent="0.3">
      <c r="A35" t="s">
        <v>30</v>
      </c>
      <c r="B35" t="s">
        <v>1057</v>
      </c>
      <c r="C35">
        <v>3447.44</v>
      </c>
      <c r="D35">
        <v>997.16000000000008</v>
      </c>
      <c r="E35">
        <v>5</v>
      </c>
      <c r="F35">
        <v>8</v>
      </c>
    </row>
    <row r="36" spans="1:6" x14ac:dyDescent="0.3">
      <c r="A36" t="s">
        <v>30</v>
      </c>
      <c r="B36" t="s">
        <v>1069</v>
      </c>
      <c r="C36">
        <v>2680.99</v>
      </c>
      <c r="D36">
        <v>567.59</v>
      </c>
      <c r="E36">
        <v>4</v>
      </c>
      <c r="F36">
        <v>1</v>
      </c>
    </row>
    <row r="37" spans="1:6" x14ac:dyDescent="0.3">
      <c r="A37" t="s">
        <v>30</v>
      </c>
      <c r="B37" t="s">
        <v>1058</v>
      </c>
      <c r="C37">
        <v>15432.12</v>
      </c>
      <c r="D37">
        <v>4593.17</v>
      </c>
      <c r="E37">
        <v>16</v>
      </c>
      <c r="F37">
        <v>1</v>
      </c>
    </row>
    <row r="38" spans="1:6" x14ac:dyDescent="0.3">
      <c r="A38" t="s">
        <v>30</v>
      </c>
      <c r="B38" t="s">
        <v>1059</v>
      </c>
      <c r="C38">
        <v>10623.02</v>
      </c>
      <c r="D38">
        <v>3155.49</v>
      </c>
      <c r="E38">
        <v>15</v>
      </c>
      <c r="F38">
        <v>8</v>
      </c>
    </row>
    <row r="39" spans="1:6" x14ac:dyDescent="0.3">
      <c r="A39" t="s">
        <v>30</v>
      </c>
      <c r="B39" t="s">
        <v>1070</v>
      </c>
      <c r="C39">
        <v>6538.51</v>
      </c>
      <c r="D39">
        <v>1686.63</v>
      </c>
      <c r="E39">
        <v>10</v>
      </c>
      <c r="F39">
        <v>1</v>
      </c>
    </row>
    <row r="40" spans="1:6" x14ac:dyDescent="0.3">
      <c r="A40" t="s">
        <v>30</v>
      </c>
      <c r="B40" t="s">
        <v>1060</v>
      </c>
      <c r="C40">
        <v>4338.0200000000004</v>
      </c>
      <c r="D40">
        <v>941.58999999999992</v>
      </c>
      <c r="E40">
        <v>5</v>
      </c>
      <c r="F40">
        <v>6</v>
      </c>
    </row>
    <row r="41" spans="1:6" x14ac:dyDescent="0.3">
      <c r="A41" t="s">
        <v>30</v>
      </c>
      <c r="B41" t="s">
        <v>1061</v>
      </c>
      <c r="C41">
        <v>6894.59</v>
      </c>
      <c r="D41">
        <v>2046.19</v>
      </c>
      <c r="E41">
        <v>11</v>
      </c>
      <c r="F41">
        <v>2</v>
      </c>
    </row>
    <row r="42" spans="1:6" x14ac:dyDescent="0.3">
      <c r="A42" t="s">
        <v>30</v>
      </c>
      <c r="B42" t="s">
        <v>1062</v>
      </c>
      <c r="C42">
        <v>6006.6500000000005</v>
      </c>
      <c r="D42">
        <v>1368.08</v>
      </c>
      <c r="E42">
        <v>7</v>
      </c>
      <c r="F42">
        <v>6</v>
      </c>
    </row>
    <row r="43" spans="1:6" x14ac:dyDescent="0.3">
      <c r="A43" t="s">
        <v>30</v>
      </c>
      <c r="B43" t="s">
        <v>1063</v>
      </c>
      <c r="C43">
        <v>5718.61</v>
      </c>
      <c r="D43">
        <v>1342.18</v>
      </c>
      <c r="E43">
        <v>7</v>
      </c>
      <c r="F43">
        <v>6</v>
      </c>
    </row>
    <row r="44" spans="1:6" x14ac:dyDescent="0.3">
      <c r="A44" t="s">
        <v>30</v>
      </c>
      <c r="B44" t="s">
        <v>1064</v>
      </c>
      <c r="C44">
        <v>8016.39</v>
      </c>
      <c r="D44">
        <v>2485.71</v>
      </c>
      <c r="E44">
        <v>8</v>
      </c>
      <c r="F44">
        <v>9</v>
      </c>
    </row>
    <row r="45" spans="1:6" x14ac:dyDescent="0.3">
      <c r="A45" t="s">
        <v>30</v>
      </c>
      <c r="B45" t="s">
        <v>1065</v>
      </c>
      <c r="C45">
        <v>5431.37</v>
      </c>
      <c r="D45">
        <v>1032.25</v>
      </c>
      <c r="E45">
        <v>5</v>
      </c>
      <c r="F45">
        <v>3</v>
      </c>
    </row>
    <row r="46" spans="1:6" x14ac:dyDescent="0.3">
      <c r="A46" t="s">
        <v>30</v>
      </c>
      <c r="B46" t="s">
        <v>1066</v>
      </c>
      <c r="C46">
        <v>9021.380000000001</v>
      </c>
      <c r="D46">
        <v>3026.61</v>
      </c>
      <c r="E46">
        <v>7</v>
      </c>
      <c r="F46">
        <v>5</v>
      </c>
    </row>
    <row r="47" spans="1:6" x14ac:dyDescent="0.3">
      <c r="A47" t="s">
        <v>30</v>
      </c>
      <c r="B47" t="s">
        <v>1067</v>
      </c>
      <c r="C47">
        <v>7453.18</v>
      </c>
      <c r="D47">
        <v>1835.78</v>
      </c>
      <c r="E47">
        <v>8</v>
      </c>
      <c r="F47">
        <v>6</v>
      </c>
    </row>
    <row r="48" spans="1:6" x14ac:dyDescent="0.3">
      <c r="A48" t="s">
        <v>30</v>
      </c>
      <c r="B48" t="s">
        <v>1071</v>
      </c>
      <c r="C48">
        <v>1425.71</v>
      </c>
      <c r="D48">
        <v>356.57</v>
      </c>
      <c r="E48">
        <v>5</v>
      </c>
      <c r="F48">
        <v>5</v>
      </c>
    </row>
    <row r="49" spans="1:6" x14ac:dyDescent="0.3">
      <c r="A49" t="s">
        <v>22</v>
      </c>
      <c r="B49" t="s">
        <v>1068</v>
      </c>
      <c r="C49">
        <v>4059.57</v>
      </c>
      <c r="D49">
        <v>1247.83</v>
      </c>
      <c r="E49">
        <v>5</v>
      </c>
      <c r="F49">
        <v>1</v>
      </c>
    </row>
    <row r="50" spans="1:6" x14ac:dyDescent="0.3">
      <c r="A50" t="s">
        <v>22</v>
      </c>
      <c r="B50" t="s">
        <v>1055</v>
      </c>
      <c r="C50">
        <v>5390.3499999999995</v>
      </c>
      <c r="D50">
        <v>1662.29</v>
      </c>
      <c r="E50">
        <v>5</v>
      </c>
      <c r="F50">
        <v>5</v>
      </c>
    </row>
    <row r="51" spans="1:6" x14ac:dyDescent="0.3">
      <c r="A51" t="s">
        <v>22</v>
      </c>
      <c r="B51" t="s">
        <v>1056</v>
      </c>
      <c r="C51">
        <v>1064.19</v>
      </c>
      <c r="D51">
        <v>388.91</v>
      </c>
      <c r="E51">
        <v>3</v>
      </c>
      <c r="F51">
        <v>1</v>
      </c>
    </row>
    <row r="52" spans="1:6" x14ac:dyDescent="0.3">
      <c r="A52" t="s">
        <v>22</v>
      </c>
      <c r="B52" t="s">
        <v>1057</v>
      </c>
      <c r="C52">
        <v>1721.74</v>
      </c>
      <c r="D52">
        <v>465.98</v>
      </c>
      <c r="E52">
        <v>3</v>
      </c>
      <c r="F52">
        <v>5</v>
      </c>
    </row>
    <row r="53" spans="1:6" x14ac:dyDescent="0.3">
      <c r="A53" t="s">
        <v>22</v>
      </c>
      <c r="B53" t="s">
        <v>1069</v>
      </c>
      <c r="C53">
        <v>8874.1</v>
      </c>
      <c r="D53">
        <v>2315.96</v>
      </c>
      <c r="E53">
        <v>8</v>
      </c>
      <c r="F53">
        <v>3</v>
      </c>
    </row>
    <row r="54" spans="1:6" x14ac:dyDescent="0.3">
      <c r="A54" t="s">
        <v>22</v>
      </c>
      <c r="B54" t="s">
        <v>1058</v>
      </c>
      <c r="C54">
        <v>4737.55</v>
      </c>
      <c r="D54">
        <v>1543.71</v>
      </c>
      <c r="E54">
        <v>4</v>
      </c>
      <c r="F54">
        <v>1</v>
      </c>
    </row>
    <row r="55" spans="1:6" x14ac:dyDescent="0.3">
      <c r="A55" t="s">
        <v>22</v>
      </c>
      <c r="B55" t="s">
        <v>1059</v>
      </c>
      <c r="C55">
        <v>2262.48</v>
      </c>
      <c r="D55">
        <v>463.63</v>
      </c>
      <c r="E55">
        <v>2</v>
      </c>
      <c r="F55">
        <v>1</v>
      </c>
    </row>
    <row r="56" spans="1:6" x14ac:dyDescent="0.3">
      <c r="A56" t="s">
        <v>22</v>
      </c>
      <c r="B56" t="s">
        <v>1070</v>
      </c>
      <c r="C56">
        <v>2443.42</v>
      </c>
      <c r="D56">
        <v>578.91999999999996</v>
      </c>
      <c r="E56">
        <v>2</v>
      </c>
      <c r="F56">
        <v>7</v>
      </c>
    </row>
    <row r="57" spans="1:6" x14ac:dyDescent="0.3">
      <c r="A57" t="s">
        <v>22</v>
      </c>
      <c r="B57" t="s">
        <v>1060</v>
      </c>
      <c r="C57">
        <v>5589.5999999999995</v>
      </c>
      <c r="D57">
        <v>1545.11</v>
      </c>
      <c r="E57">
        <v>7</v>
      </c>
      <c r="F57">
        <v>1</v>
      </c>
    </row>
    <row r="58" spans="1:6" x14ac:dyDescent="0.3">
      <c r="A58" t="s">
        <v>22</v>
      </c>
      <c r="B58" t="s">
        <v>1061</v>
      </c>
      <c r="C58">
        <v>7347.76</v>
      </c>
      <c r="D58">
        <v>1856.14</v>
      </c>
      <c r="E58">
        <v>7</v>
      </c>
      <c r="F58">
        <v>2</v>
      </c>
    </row>
    <row r="59" spans="1:6" x14ac:dyDescent="0.3">
      <c r="A59" t="s">
        <v>22</v>
      </c>
      <c r="B59" t="s">
        <v>1062</v>
      </c>
      <c r="C59">
        <v>6488.83</v>
      </c>
      <c r="D59">
        <v>1394.89</v>
      </c>
      <c r="E59">
        <v>5</v>
      </c>
      <c r="F59">
        <v>5</v>
      </c>
    </row>
    <row r="60" spans="1:6" x14ac:dyDescent="0.3">
      <c r="A60" t="s">
        <v>22</v>
      </c>
      <c r="B60" t="s">
        <v>1063</v>
      </c>
      <c r="C60">
        <v>13213.87</v>
      </c>
      <c r="D60">
        <v>3606.27</v>
      </c>
      <c r="E60">
        <v>12</v>
      </c>
      <c r="F60">
        <v>7</v>
      </c>
    </row>
    <row r="61" spans="1:6" x14ac:dyDescent="0.3">
      <c r="A61" t="s">
        <v>22</v>
      </c>
      <c r="B61" t="s">
        <v>1064</v>
      </c>
      <c r="C61">
        <v>2048.6</v>
      </c>
      <c r="D61">
        <v>626.04999999999995</v>
      </c>
      <c r="E61">
        <v>3</v>
      </c>
      <c r="F61">
        <v>1</v>
      </c>
    </row>
    <row r="62" spans="1:6" x14ac:dyDescent="0.3">
      <c r="A62" t="s">
        <v>22</v>
      </c>
      <c r="B62" t="s">
        <v>1065</v>
      </c>
      <c r="C62">
        <v>9137.09</v>
      </c>
      <c r="D62">
        <v>3200.92</v>
      </c>
      <c r="E62">
        <v>8</v>
      </c>
      <c r="F62">
        <v>7</v>
      </c>
    </row>
    <row r="63" spans="1:6" x14ac:dyDescent="0.3">
      <c r="A63" t="s">
        <v>22</v>
      </c>
      <c r="B63" t="s">
        <v>1066</v>
      </c>
      <c r="C63">
        <v>3271.86</v>
      </c>
      <c r="D63">
        <v>762.28</v>
      </c>
      <c r="E63">
        <v>4</v>
      </c>
      <c r="F63">
        <v>7</v>
      </c>
    </row>
    <row r="64" spans="1:6" x14ac:dyDescent="0.3">
      <c r="A64" t="s">
        <v>22</v>
      </c>
      <c r="B64" t="s">
        <v>1067</v>
      </c>
      <c r="C64">
        <v>6394.1900000000014</v>
      </c>
      <c r="D64">
        <v>1658.61</v>
      </c>
      <c r="E64">
        <v>7</v>
      </c>
      <c r="F64">
        <v>4</v>
      </c>
    </row>
    <row r="65" spans="1:6" x14ac:dyDescent="0.3">
      <c r="A65" t="s">
        <v>22</v>
      </c>
      <c r="B65" t="s">
        <v>1071</v>
      </c>
      <c r="C65">
        <v>2899.87</v>
      </c>
      <c r="D65">
        <v>735.74</v>
      </c>
      <c r="E65">
        <v>2</v>
      </c>
      <c r="F65">
        <v>9</v>
      </c>
    </row>
    <row r="66" spans="1:6" x14ac:dyDescent="0.3">
      <c r="A66" t="s">
        <v>173</v>
      </c>
      <c r="B66" t="s">
        <v>1068</v>
      </c>
      <c r="C66">
        <v>656.88</v>
      </c>
      <c r="D66">
        <v>167.02</v>
      </c>
      <c r="E66">
        <v>1</v>
      </c>
      <c r="F66">
        <v>9</v>
      </c>
    </row>
    <row r="67" spans="1:6" x14ac:dyDescent="0.3">
      <c r="A67" t="s">
        <v>173</v>
      </c>
      <c r="B67" t="s">
        <v>1056</v>
      </c>
      <c r="C67">
        <v>6450.38</v>
      </c>
      <c r="D67">
        <v>1428.65</v>
      </c>
      <c r="E67">
        <v>4</v>
      </c>
      <c r="F67">
        <v>3</v>
      </c>
    </row>
    <row r="68" spans="1:6" x14ac:dyDescent="0.3">
      <c r="A68" t="s">
        <v>173</v>
      </c>
      <c r="B68" t="s">
        <v>1069</v>
      </c>
      <c r="C68">
        <v>2045.91</v>
      </c>
      <c r="D68">
        <v>418.73</v>
      </c>
      <c r="E68">
        <v>3</v>
      </c>
      <c r="F68">
        <v>3</v>
      </c>
    </row>
    <row r="69" spans="1:6" x14ac:dyDescent="0.3">
      <c r="A69" t="s">
        <v>173</v>
      </c>
      <c r="B69" t="s">
        <v>1058</v>
      </c>
      <c r="C69">
        <v>2355.85</v>
      </c>
      <c r="D69">
        <v>356.88</v>
      </c>
      <c r="E69">
        <v>2</v>
      </c>
      <c r="F69">
        <v>1</v>
      </c>
    </row>
    <row r="70" spans="1:6" x14ac:dyDescent="0.3">
      <c r="A70" t="s">
        <v>173</v>
      </c>
      <c r="B70" t="s">
        <v>1059</v>
      </c>
      <c r="C70">
        <v>2376.6799999999998</v>
      </c>
      <c r="D70">
        <v>773.68</v>
      </c>
      <c r="E70">
        <v>3</v>
      </c>
      <c r="F70">
        <v>6</v>
      </c>
    </row>
    <row r="71" spans="1:6" x14ac:dyDescent="0.3">
      <c r="A71" t="s">
        <v>173</v>
      </c>
      <c r="B71" t="s">
        <v>1060</v>
      </c>
      <c r="C71">
        <v>2832.86</v>
      </c>
      <c r="D71">
        <v>661.32999999999993</v>
      </c>
      <c r="E71">
        <v>3</v>
      </c>
      <c r="F71">
        <v>9</v>
      </c>
    </row>
    <row r="72" spans="1:6" x14ac:dyDescent="0.3">
      <c r="A72" t="s">
        <v>173</v>
      </c>
      <c r="B72" t="s">
        <v>1061</v>
      </c>
      <c r="C72">
        <v>935.88</v>
      </c>
      <c r="D72">
        <v>186.51</v>
      </c>
      <c r="E72">
        <v>1</v>
      </c>
      <c r="F72">
        <v>4</v>
      </c>
    </row>
    <row r="73" spans="1:6" x14ac:dyDescent="0.3">
      <c r="A73" t="s">
        <v>173</v>
      </c>
      <c r="B73" t="s">
        <v>1062</v>
      </c>
      <c r="C73">
        <v>1719.38</v>
      </c>
      <c r="D73">
        <v>447.82000000000011</v>
      </c>
      <c r="E73">
        <v>2</v>
      </c>
      <c r="F73">
        <v>1</v>
      </c>
    </row>
    <row r="74" spans="1:6" x14ac:dyDescent="0.3">
      <c r="A74" t="s">
        <v>173</v>
      </c>
      <c r="B74" t="s">
        <v>1063</v>
      </c>
      <c r="C74">
        <v>3220</v>
      </c>
      <c r="D74">
        <v>1219.8900000000001</v>
      </c>
      <c r="E74">
        <v>1</v>
      </c>
      <c r="F74">
        <v>7</v>
      </c>
    </row>
    <row r="75" spans="1:6" x14ac:dyDescent="0.3">
      <c r="A75" t="s">
        <v>173</v>
      </c>
      <c r="B75" t="s">
        <v>1064</v>
      </c>
      <c r="C75">
        <v>1567.87</v>
      </c>
      <c r="D75">
        <v>518.99</v>
      </c>
      <c r="E75">
        <v>3</v>
      </c>
      <c r="F75">
        <v>9</v>
      </c>
    </row>
    <row r="76" spans="1:6" x14ac:dyDescent="0.3">
      <c r="A76" t="s">
        <v>173</v>
      </c>
      <c r="B76" t="s">
        <v>1065</v>
      </c>
      <c r="C76">
        <v>4977.83</v>
      </c>
      <c r="D76">
        <v>1410.15</v>
      </c>
      <c r="E76">
        <v>3</v>
      </c>
      <c r="F76">
        <v>3</v>
      </c>
    </row>
    <row r="77" spans="1:6" x14ac:dyDescent="0.3">
      <c r="A77" t="s">
        <v>173</v>
      </c>
      <c r="B77" t="s">
        <v>1066</v>
      </c>
      <c r="C77">
        <v>5111.88</v>
      </c>
      <c r="D77">
        <v>1879.68</v>
      </c>
      <c r="E77">
        <v>3</v>
      </c>
      <c r="F77">
        <v>6</v>
      </c>
    </row>
    <row r="78" spans="1:6" x14ac:dyDescent="0.3">
      <c r="A78" t="s">
        <v>173</v>
      </c>
      <c r="B78" t="s">
        <v>1067</v>
      </c>
      <c r="C78">
        <v>2766.06</v>
      </c>
      <c r="D78">
        <v>693.37</v>
      </c>
      <c r="E78">
        <v>3</v>
      </c>
      <c r="F78">
        <v>5</v>
      </c>
    </row>
    <row r="79" spans="1:6" x14ac:dyDescent="0.3">
      <c r="A79" t="s">
        <v>43</v>
      </c>
      <c r="B79" t="s">
        <v>1068</v>
      </c>
      <c r="C79">
        <v>843.2</v>
      </c>
      <c r="D79">
        <v>266.39</v>
      </c>
      <c r="E79">
        <v>1</v>
      </c>
      <c r="F79">
        <v>3</v>
      </c>
    </row>
    <row r="80" spans="1:6" x14ac:dyDescent="0.3">
      <c r="A80" t="s">
        <v>43</v>
      </c>
      <c r="B80" t="s">
        <v>1055</v>
      </c>
      <c r="C80">
        <v>1171.42</v>
      </c>
      <c r="D80">
        <v>372.47</v>
      </c>
      <c r="E80">
        <v>1</v>
      </c>
      <c r="F80">
        <v>7</v>
      </c>
    </row>
    <row r="81" spans="1:6" x14ac:dyDescent="0.3">
      <c r="A81" t="s">
        <v>43</v>
      </c>
      <c r="B81" t="s">
        <v>1056</v>
      </c>
      <c r="C81">
        <v>3043.92</v>
      </c>
      <c r="D81">
        <v>836.17000000000007</v>
      </c>
      <c r="E81">
        <v>3</v>
      </c>
      <c r="F81">
        <v>5</v>
      </c>
    </row>
    <row r="82" spans="1:6" x14ac:dyDescent="0.3">
      <c r="A82" t="s">
        <v>43</v>
      </c>
      <c r="B82" t="s">
        <v>1057</v>
      </c>
      <c r="C82">
        <v>1269.94</v>
      </c>
      <c r="D82">
        <v>439</v>
      </c>
      <c r="E82">
        <v>2</v>
      </c>
      <c r="F82">
        <v>5</v>
      </c>
    </row>
    <row r="83" spans="1:6" x14ac:dyDescent="0.3">
      <c r="A83" t="s">
        <v>43</v>
      </c>
      <c r="B83" t="s">
        <v>1069</v>
      </c>
      <c r="C83">
        <v>6434.71</v>
      </c>
      <c r="D83">
        <v>1817.21</v>
      </c>
      <c r="E83">
        <v>7</v>
      </c>
      <c r="F83">
        <v>7</v>
      </c>
    </row>
    <row r="84" spans="1:6" x14ac:dyDescent="0.3">
      <c r="A84" t="s">
        <v>43</v>
      </c>
      <c r="B84" t="s">
        <v>1058</v>
      </c>
      <c r="C84">
        <v>2631.25</v>
      </c>
      <c r="D84">
        <v>942.72</v>
      </c>
      <c r="E84">
        <v>2</v>
      </c>
      <c r="F84">
        <v>4</v>
      </c>
    </row>
    <row r="85" spans="1:6" x14ac:dyDescent="0.3">
      <c r="A85" t="s">
        <v>43</v>
      </c>
      <c r="B85" t="s">
        <v>1059</v>
      </c>
      <c r="C85">
        <v>1201.2</v>
      </c>
      <c r="D85">
        <v>329.23</v>
      </c>
      <c r="E85">
        <v>1</v>
      </c>
      <c r="F85">
        <v>8</v>
      </c>
    </row>
    <row r="86" spans="1:6" x14ac:dyDescent="0.3">
      <c r="A86" t="s">
        <v>43</v>
      </c>
      <c r="B86" t="s">
        <v>1070</v>
      </c>
      <c r="C86">
        <v>7486.09</v>
      </c>
      <c r="D86">
        <v>2363.9299999999998</v>
      </c>
      <c r="E86">
        <v>5</v>
      </c>
      <c r="F86">
        <v>3</v>
      </c>
    </row>
    <row r="87" spans="1:6" x14ac:dyDescent="0.3">
      <c r="A87" t="s">
        <v>43</v>
      </c>
      <c r="B87" t="s">
        <v>1060</v>
      </c>
      <c r="C87">
        <v>1381.76</v>
      </c>
      <c r="D87">
        <v>269.22000000000003</v>
      </c>
      <c r="E87">
        <v>1</v>
      </c>
      <c r="F87">
        <v>6</v>
      </c>
    </row>
    <row r="88" spans="1:6" x14ac:dyDescent="0.3">
      <c r="A88" t="s">
        <v>43</v>
      </c>
      <c r="B88" t="s">
        <v>1061</v>
      </c>
      <c r="C88">
        <v>338.16</v>
      </c>
      <c r="D88">
        <v>134.77000000000001</v>
      </c>
      <c r="E88">
        <v>1</v>
      </c>
      <c r="F88">
        <v>4</v>
      </c>
    </row>
    <row r="89" spans="1:6" x14ac:dyDescent="0.3">
      <c r="A89" t="s">
        <v>43</v>
      </c>
      <c r="B89" t="s">
        <v>1062</v>
      </c>
      <c r="C89">
        <v>3025.92</v>
      </c>
      <c r="D89">
        <v>866.08</v>
      </c>
      <c r="E89">
        <v>3</v>
      </c>
      <c r="F89">
        <v>7</v>
      </c>
    </row>
    <row r="90" spans="1:6" x14ac:dyDescent="0.3">
      <c r="A90" t="s">
        <v>43</v>
      </c>
      <c r="B90" t="s">
        <v>1063</v>
      </c>
      <c r="C90">
        <v>3405.03</v>
      </c>
      <c r="D90">
        <v>884.06</v>
      </c>
      <c r="E90">
        <v>4</v>
      </c>
      <c r="F90">
        <v>7</v>
      </c>
    </row>
    <row r="91" spans="1:6" x14ac:dyDescent="0.3">
      <c r="A91" t="s">
        <v>43</v>
      </c>
      <c r="B91" t="s">
        <v>1064</v>
      </c>
      <c r="C91">
        <v>263.04000000000002</v>
      </c>
      <c r="D91">
        <v>41.4</v>
      </c>
      <c r="E91">
        <v>1</v>
      </c>
      <c r="F91">
        <v>8</v>
      </c>
    </row>
    <row r="92" spans="1:6" x14ac:dyDescent="0.3">
      <c r="A92" t="s">
        <v>43</v>
      </c>
      <c r="B92" t="s">
        <v>1065</v>
      </c>
      <c r="C92">
        <v>168.63</v>
      </c>
      <c r="D92">
        <v>41.07</v>
      </c>
      <c r="E92">
        <v>1</v>
      </c>
      <c r="F92">
        <v>9</v>
      </c>
    </row>
    <row r="93" spans="1:6" x14ac:dyDescent="0.3">
      <c r="A93" t="s">
        <v>43</v>
      </c>
      <c r="B93" t="s">
        <v>1067</v>
      </c>
      <c r="C93">
        <v>1172.08</v>
      </c>
      <c r="D93">
        <v>375.08</v>
      </c>
      <c r="E93">
        <v>1</v>
      </c>
      <c r="F93">
        <v>7</v>
      </c>
    </row>
    <row r="94" spans="1:6" x14ac:dyDescent="0.3">
      <c r="A94" t="s">
        <v>43</v>
      </c>
      <c r="B94" t="s">
        <v>1071</v>
      </c>
      <c r="C94">
        <v>1027.68</v>
      </c>
      <c r="D94">
        <v>357.73</v>
      </c>
      <c r="E94">
        <v>1</v>
      </c>
      <c r="F94">
        <v>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1C7C55-C5CA-4E23-BFD6-EB8CB8639EA3}">
  <dimension ref="A1:L101"/>
  <sheetViews>
    <sheetView topLeftCell="A10" workbookViewId="0">
      <selection activeCell="I3" sqref="I3:J7"/>
    </sheetView>
  </sheetViews>
  <sheetFormatPr defaultRowHeight="14.4" outlineLevelRow="2" x14ac:dyDescent="0.3"/>
  <cols>
    <col min="3" max="3" width="10.44140625" bestFit="1" customWidth="1"/>
    <col min="4" max="4" width="10.88671875" bestFit="1" customWidth="1"/>
    <col min="10" max="11" width="10" bestFit="1" customWidth="1"/>
  </cols>
  <sheetData>
    <row r="1" spans="1:12" x14ac:dyDescent="0.3">
      <c r="A1" s="11" t="s">
        <v>13</v>
      </c>
      <c r="B1" s="11" t="s">
        <v>1051</v>
      </c>
      <c r="C1" s="11" t="s">
        <v>8</v>
      </c>
      <c r="D1" s="11" t="s">
        <v>1052</v>
      </c>
      <c r="E1" s="11" t="s">
        <v>1053</v>
      </c>
      <c r="F1" s="11" t="s">
        <v>1054</v>
      </c>
    </row>
    <row r="2" spans="1:12" outlineLevel="2" x14ac:dyDescent="0.3">
      <c r="A2" t="s">
        <v>108</v>
      </c>
      <c r="B2" t="s">
        <v>1055</v>
      </c>
      <c r="C2">
        <v>3778.57</v>
      </c>
      <c r="D2">
        <v>1212.1199999999999</v>
      </c>
      <c r="E2">
        <v>3</v>
      </c>
      <c r="F2">
        <v>5</v>
      </c>
      <c r="I2" s="14"/>
    </row>
    <row r="3" spans="1:12" outlineLevel="2" x14ac:dyDescent="0.3">
      <c r="A3" t="s">
        <v>108</v>
      </c>
      <c r="B3" t="s">
        <v>1056</v>
      </c>
      <c r="C3">
        <v>3519.18</v>
      </c>
      <c r="D3">
        <v>910.68</v>
      </c>
      <c r="E3">
        <v>2</v>
      </c>
      <c r="F3">
        <v>3</v>
      </c>
      <c r="I3" s="14" t="s">
        <v>1089</v>
      </c>
      <c r="J3" s="14" t="s">
        <v>1087</v>
      </c>
      <c r="K3" t="s">
        <v>1087</v>
      </c>
      <c r="L3" t="s">
        <v>1088</v>
      </c>
    </row>
    <row r="4" spans="1:12" outlineLevel="2" x14ac:dyDescent="0.3">
      <c r="A4" t="s">
        <v>108</v>
      </c>
      <c r="B4" t="s">
        <v>1057</v>
      </c>
      <c r="C4">
        <v>1765.51</v>
      </c>
      <c r="D4">
        <v>530.96</v>
      </c>
      <c r="E4">
        <v>2</v>
      </c>
      <c r="F4">
        <v>4</v>
      </c>
      <c r="I4" t="s">
        <v>1081</v>
      </c>
      <c r="J4">
        <v>29495.039999999997</v>
      </c>
      <c r="K4">
        <v>29495.039999999997</v>
      </c>
      <c r="L4">
        <v>8967.32</v>
      </c>
    </row>
    <row r="5" spans="1:12" outlineLevel="2" x14ac:dyDescent="0.3">
      <c r="A5" t="s">
        <v>108</v>
      </c>
      <c r="B5" t="s">
        <v>1058</v>
      </c>
      <c r="C5">
        <v>4768.72</v>
      </c>
      <c r="D5">
        <v>1717.12</v>
      </c>
      <c r="E5">
        <v>3</v>
      </c>
      <c r="F5">
        <v>7</v>
      </c>
      <c r="I5" t="s">
        <v>1082</v>
      </c>
      <c r="J5">
        <v>171168.4</v>
      </c>
      <c r="K5">
        <v>171168.4</v>
      </c>
      <c r="L5">
        <v>47915.859999999993</v>
      </c>
    </row>
    <row r="6" spans="1:12" outlineLevel="2" x14ac:dyDescent="0.3">
      <c r="A6" t="s">
        <v>108</v>
      </c>
      <c r="B6" t="s">
        <v>1059</v>
      </c>
      <c r="C6">
        <v>751.14</v>
      </c>
      <c r="D6">
        <v>168.93</v>
      </c>
      <c r="E6">
        <v>4</v>
      </c>
      <c r="F6">
        <v>8</v>
      </c>
      <c r="I6" t="s">
        <v>1083</v>
      </c>
      <c r="J6">
        <v>115214.62000000001</v>
      </c>
      <c r="K6">
        <v>115214.62000000001</v>
      </c>
      <c r="L6">
        <v>32134.75</v>
      </c>
    </row>
    <row r="7" spans="1:12" outlineLevel="2" x14ac:dyDescent="0.3">
      <c r="A7" t="s">
        <v>108</v>
      </c>
      <c r="B7" t="s">
        <v>1060</v>
      </c>
      <c r="C7">
        <v>2704.41</v>
      </c>
      <c r="D7">
        <v>772.61</v>
      </c>
      <c r="E7">
        <v>3</v>
      </c>
      <c r="F7">
        <v>5</v>
      </c>
      <c r="I7" t="s">
        <v>1084</v>
      </c>
      <c r="J7">
        <v>86945.07</v>
      </c>
      <c r="K7">
        <v>86945.07</v>
      </c>
      <c r="L7">
        <v>24053.24</v>
      </c>
    </row>
    <row r="8" spans="1:12" outlineLevel="2" x14ac:dyDescent="0.3">
      <c r="A8" t="s">
        <v>108</v>
      </c>
      <c r="B8" t="s">
        <v>1061</v>
      </c>
      <c r="C8">
        <v>908.84</v>
      </c>
      <c r="D8">
        <v>264.43</v>
      </c>
      <c r="E8">
        <v>2</v>
      </c>
      <c r="F8">
        <v>6</v>
      </c>
      <c r="I8" t="s">
        <v>1085</v>
      </c>
      <c r="K8">
        <v>37017.46</v>
      </c>
      <c r="L8">
        <v>10162.700000000001</v>
      </c>
    </row>
    <row r="9" spans="1:12" outlineLevel="2" x14ac:dyDescent="0.3">
      <c r="A9" t="s">
        <v>108</v>
      </c>
      <c r="B9" t="s">
        <v>1062</v>
      </c>
      <c r="C9">
        <v>794.82</v>
      </c>
      <c r="D9">
        <v>255.37</v>
      </c>
      <c r="E9">
        <v>1</v>
      </c>
      <c r="F9">
        <v>7</v>
      </c>
      <c r="I9" t="s">
        <v>1086</v>
      </c>
      <c r="K9">
        <v>34864.03</v>
      </c>
      <c r="L9">
        <v>10336.530000000001</v>
      </c>
    </row>
    <row r="10" spans="1:12" outlineLevel="2" x14ac:dyDescent="0.3">
      <c r="A10" t="s">
        <v>108</v>
      </c>
      <c r="B10" t="s">
        <v>1063</v>
      </c>
      <c r="C10">
        <v>1882.75</v>
      </c>
      <c r="D10">
        <v>346.8</v>
      </c>
      <c r="E10">
        <v>4</v>
      </c>
      <c r="F10">
        <v>3</v>
      </c>
    </row>
    <row r="11" spans="1:12" outlineLevel="2" x14ac:dyDescent="0.3">
      <c r="A11" t="s">
        <v>108</v>
      </c>
      <c r="B11" t="s">
        <v>1064</v>
      </c>
      <c r="C11">
        <v>3269.37</v>
      </c>
      <c r="D11">
        <v>1085.4100000000001</v>
      </c>
      <c r="E11">
        <v>2</v>
      </c>
      <c r="F11">
        <v>2</v>
      </c>
    </row>
    <row r="12" spans="1:12" outlineLevel="2" x14ac:dyDescent="0.3">
      <c r="A12" t="s">
        <v>108</v>
      </c>
      <c r="B12" t="s">
        <v>1065</v>
      </c>
      <c r="C12">
        <v>412.62</v>
      </c>
      <c r="D12">
        <v>155.44</v>
      </c>
      <c r="E12">
        <v>1</v>
      </c>
      <c r="F12">
        <v>8</v>
      </c>
    </row>
    <row r="13" spans="1:12" outlineLevel="2" x14ac:dyDescent="0.3">
      <c r="A13" t="s">
        <v>108</v>
      </c>
      <c r="B13" t="s">
        <v>1066</v>
      </c>
      <c r="C13">
        <v>2964.8</v>
      </c>
      <c r="D13">
        <v>920.04</v>
      </c>
      <c r="E13">
        <v>4</v>
      </c>
      <c r="F13">
        <v>4</v>
      </c>
    </row>
    <row r="14" spans="1:12" outlineLevel="2" x14ac:dyDescent="0.3">
      <c r="A14" t="s">
        <v>108</v>
      </c>
      <c r="B14" t="s">
        <v>1067</v>
      </c>
      <c r="C14">
        <v>1974.31</v>
      </c>
      <c r="D14">
        <v>627.41</v>
      </c>
      <c r="E14">
        <v>2</v>
      </c>
      <c r="F14">
        <v>9</v>
      </c>
    </row>
    <row r="15" spans="1:12" outlineLevel="1" x14ac:dyDescent="0.3">
      <c r="A15" s="14" t="s">
        <v>1081</v>
      </c>
      <c r="C15">
        <f>SUBTOTAL(9,C2:C14)</f>
        <v>29495.039999999997</v>
      </c>
      <c r="D15">
        <f>SUBTOTAL(9,D2:D14)</f>
        <v>8967.32</v>
      </c>
    </row>
    <row r="16" spans="1:12" outlineLevel="2" x14ac:dyDescent="0.3">
      <c r="A16" t="s">
        <v>66</v>
      </c>
      <c r="B16" t="s">
        <v>1068</v>
      </c>
      <c r="C16">
        <v>12118.86</v>
      </c>
      <c r="D16">
        <v>2799.31</v>
      </c>
      <c r="E16">
        <v>11</v>
      </c>
      <c r="F16">
        <v>5</v>
      </c>
    </row>
    <row r="17" spans="1:6" outlineLevel="2" x14ac:dyDescent="0.3">
      <c r="A17" t="s">
        <v>66</v>
      </c>
      <c r="B17" t="s">
        <v>1055</v>
      </c>
      <c r="C17">
        <v>8766.07</v>
      </c>
      <c r="D17">
        <v>2416.6</v>
      </c>
      <c r="E17">
        <v>9</v>
      </c>
      <c r="F17">
        <v>6</v>
      </c>
    </row>
    <row r="18" spans="1:6" outlineLevel="2" x14ac:dyDescent="0.3">
      <c r="A18" t="s">
        <v>66</v>
      </c>
      <c r="B18" t="s">
        <v>1056</v>
      </c>
      <c r="C18">
        <v>7955.66</v>
      </c>
      <c r="D18">
        <v>2329.09</v>
      </c>
      <c r="E18">
        <v>9</v>
      </c>
      <c r="F18">
        <v>1</v>
      </c>
    </row>
    <row r="19" spans="1:6" outlineLevel="2" x14ac:dyDescent="0.3">
      <c r="A19" t="s">
        <v>66</v>
      </c>
      <c r="B19" t="s">
        <v>1057</v>
      </c>
      <c r="C19">
        <v>5871.72</v>
      </c>
      <c r="D19">
        <v>1889.51</v>
      </c>
      <c r="E19">
        <v>6</v>
      </c>
      <c r="F19">
        <v>1</v>
      </c>
    </row>
    <row r="20" spans="1:6" outlineLevel="2" x14ac:dyDescent="0.3">
      <c r="A20" t="s">
        <v>66</v>
      </c>
      <c r="B20" t="s">
        <v>1069</v>
      </c>
      <c r="C20">
        <v>5008.9399999999996</v>
      </c>
      <c r="D20">
        <v>1129.83</v>
      </c>
      <c r="E20">
        <v>7</v>
      </c>
      <c r="F20">
        <v>8</v>
      </c>
    </row>
    <row r="21" spans="1:6" outlineLevel="2" x14ac:dyDescent="0.3">
      <c r="A21" t="s">
        <v>66</v>
      </c>
      <c r="B21" t="s">
        <v>1058</v>
      </c>
      <c r="C21">
        <v>8767.11</v>
      </c>
      <c r="D21">
        <v>2622.31</v>
      </c>
      <c r="E21">
        <v>7</v>
      </c>
      <c r="F21">
        <v>3</v>
      </c>
    </row>
    <row r="22" spans="1:6" outlineLevel="2" x14ac:dyDescent="0.3">
      <c r="A22" t="s">
        <v>66</v>
      </c>
      <c r="B22" t="s">
        <v>1059</v>
      </c>
      <c r="C22">
        <v>13074.39</v>
      </c>
      <c r="D22">
        <v>3550.23</v>
      </c>
      <c r="E22">
        <v>11</v>
      </c>
      <c r="F22">
        <v>2</v>
      </c>
    </row>
    <row r="23" spans="1:6" outlineLevel="2" x14ac:dyDescent="0.3">
      <c r="A23" t="s">
        <v>66</v>
      </c>
      <c r="B23" t="s">
        <v>1070</v>
      </c>
      <c r="C23">
        <v>12111.05</v>
      </c>
      <c r="D23">
        <v>3346.91</v>
      </c>
      <c r="E23">
        <v>11</v>
      </c>
      <c r="F23">
        <v>1</v>
      </c>
    </row>
    <row r="24" spans="1:6" outlineLevel="2" x14ac:dyDescent="0.3">
      <c r="A24" t="s">
        <v>66</v>
      </c>
      <c r="B24" t="s">
        <v>1060</v>
      </c>
      <c r="C24">
        <v>14892.08</v>
      </c>
      <c r="D24">
        <v>4197.32</v>
      </c>
      <c r="E24">
        <v>19</v>
      </c>
      <c r="F24">
        <v>1</v>
      </c>
    </row>
    <row r="25" spans="1:6" outlineLevel="2" x14ac:dyDescent="0.3">
      <c r="A25" t="s">
        <v>66</v>
      </c>
      <c r="B25" t="s">
        <v>1061</v>
      </c>
      <c r="C25">
        <v>8946.65</v>
      </c>
      <c r="D25">
        <v>3064.47</v>
      </c>
      <c r="E25">
        <v>9</v>
      </c>
      <c r="F25">
        <v>9</v>
      </c>
    </row>
    <row r="26" spans="1:6" outlineLevel="2" x14ac:dyDescent="0.3">
      <c r="A26" t="s">
        <v>66</v>
      </c>
      <c r="B26" t="s">
        <v>1062</v>
      </c>
      <c r="C26">
        <v>13730.81</v>
      </c>
      <c r="D26">
        <v>3430.89</v>
      </c>
      <c r="E26">
        <v>13</v>
      </c>
      <c r="F26">
        <v>8</v>
      </c>
    </row>
    <row r="27" spans="1:6" outlineLevel="2" x14ac:dyDescent="0.3">
      <c r="A27" t="s">
        <v>66</v>
      </c>
      <c r="B27" t="s">
        <v>1063</v>
      </c>
      <c r="C27">
        <v>11679.03</v>
      </c>
      <c r="D27">
        <v>3081.7</v>
      </c>
      <c r="E27">
        <v>11</v>
      </c>
      <c r="F27">
        <v>3</v>
      </c>
    </row>
    <row r="28" spans="1:6" outlineLevel="2" x14ac:dyDescent="0.3">
      <c r="A28" t="s">
        <v>66</v>
      </c>
      <c r="B28" t="s">
        <v>1064</v>
      </c>
      <c r="C28">
        <v>9897.75</v>
      </c>
      <c r="D28">
        <v>2652.22</v>
      </c>
      <c r="E28">
        <v>14</v>
      </c>
      <c r="F28">
        <v>5</v>
      </c>
    </row>
    <row r="29" spans="1:6" outlineLevel="2" x14ac:dyDescent="0.3">
      <c r="A29" t="s">
        <v>66</v>
      </c>
      <c r="B29" t="s">
        <v>1065</v>
      </c>
      <c r="C29">
        <v>5404.6900000000014</v>
      </c>
      <c r="D29">
        <v>1469.09</v>
      </c>
      <c r="E29">
        <v>8</v>
      </c>
      <c r="F29">
        <v>3</v>
      </c>
    </row>
    <row r="30" spans="1:6" outlineLevel="2" x14ac:dyDescent="0.3">
      <c r="A30" t="s">
        <v>66</v>
      </c>
      <c r="B30" t="s">
        <v>1066</v>
      </c>
      <c r="C30">
        <v>11784.96</v>
      </c>
      <c r="D30">
        <v>3759.57</v>
      </c>
      <c r="E30">
        <v>9</v>
      </c>
      <c r="F30">
        <v>5</v>
      </c>
    </row>
    <row r="31" spans="1:6" outlineLevel="2" x14ac:dyDescent="0.3">
      <c r="A31" t="s">
        <v>66</v>
      </c>
      <c r="B31" t="s">
        <v>1067</v>
      </c>
      <c r="C31">
        <v>16779.43</v>
      </c>
      <c r="D31">
        <v>5047.63</v>
      </c>
      <c r="E31">
        <v>17</v>
      </c>
      <c r="F31">
        <v>8</v>
      </c>
    </row>
    <row r="32" spans="1:6" outlineLevel="2" x14ac:dyDescent="0.3">
      <c r="A32" t="s">
        <v>66</v>
      </c>
      <c r="B32" t="s">
        <v>1071</v>
      </c>
      <c r="C32">
        <v>4379.2</v>
      </c>
      <c r="D32">
        <v>1129.18</v>
      </c>
      <c r="E32">
        <v>8</v>
      </c>
      <c r="F32">
        <v>1</v>
      </c>
    </row>
    <row r="33" spans="1:6" outlineLevel="1" x14ac:dyDescent="0.3">
      <c r="A33" s="14" t="s">
        <v>1082</v>
      </c>
      <c r="C33">
        <f>SUBTOTAL(9,C16:C32)</f>
        <v>171168.4</v>
      </c>
      <c r="D33">
        <f>SUBTOTAL(9,D16:D32)</f>
        <v>47915.859999999993</v>
      </c>
    </row>
    <row r="34" spans="1:6" outlineLevel="2" x14ac:dyDescent="0.3">
      <c r="A34" t="s">
        <v>30</v>
      </c>
      <c r="B34" t="s">
        <v>1068</v>
      </c>
      <c r="C34">
        <v>5963.8</v>
      </c>
      <c r="D34">
        <v>1573.73</v>
      </c>
      <c r="E34">
        <v>5</v>
      </c>
      <c r="F34">
        <v>5</v>
      </c>
    </row>
    <row r="35" spans="1:6" outlineLevel="2" x14ac:dyDescent="0.3">
      <c r="A35" t="s">
        <v>30</v>
      </c>
      <c r="B35" t="s">
        <v>1055</v>
      </c>
      <c r="C35">
        <v>10805.59</v>
      </c>
      <c r="D35">
        <v>3570.55</v>
      </c>
      <c r="E35">
        <v>11</v>
      </c>
      <c r="F35">
        <v>1</v>
      </c>
    </row>
    <row r="36" spans="1:6" outlineLevel="2" x14ac:dyDescent="0.3">
      <c r="A36" t="s">
        <v>30</v>
      </c>
      <c r="B36" t="s">
        <v>1056</v>
      </c>
      <c r="C36">
        <v>5417.25</v>
      </c>
      <c r="D36">
        <v>1555.47</v>
      </c>
      <c r="E36">
        <v>5</v>
      </c>
      <c r="F36">
        <v>7</v>
      </c>
    </row>
    <row r="37" spans="1:6" outlineLevel="2" x14ac:dyDescent="0.3">
      <c r="A37" t="s">
        <v>30</v>
      </c>
      <c r="B37" t="s">
        <v>1057</v>
      </c>
      <c r="C37">
        <v>3447.44</v>
      </c>
      <c r="D37">
        <v>997.16000000000008</v>
      </c>
      <c r="E37">
        <v>5</v>
      </c>
      <c r="F37">
        <v>8</v>
      </c>
    </row>
    <row r="38" spans="1:6" outlineLevel="2" x14ac:dyDescent="0.3">
      <c r="A38" t="s">
        <v>30</v>
      </c>
      <c r="B38" t="s">
        <v>1069</v>
      </c>
      <c r="C38">
        <v>2680.99</v>
      </c>
      <c r="D38">
        <v>567.59</v>
      </c>
      <c r="E38">
        <v>4</v>
      </c>
      <c r="F38">
        <v>1</v>
      </c>
    </row>
    <row r="39" spans="1:6" outlineLevel="2" x14ac:dyDescent="0.3">
      <c r="A39" t="s">
        <v>30</v>
      </c>
      <c r="B39" t="s">
        <v>1058</v>
      </c>
      <c r="C39">
        <v>15432.12</v>
      </c>
      <c r="D39">
        <v>4593.17</v>
      </c>
      <c r="E39">
        <v>16</v>
      </c>
      <c r="F39">
        <v>1</v>
      </c>
    </row>
    <row r="40" spans="1:6" outlineLevel="2" x14ac:dyDescent="0.3">
      <c r="A40" t="s">
        <v>30</v>
      </c>
      <c r="B40" t="s">
        <v>1059</v>
      </c>
      <c r="C40">
        <v>10623.02</v>
      </c>
      <c r="D40">
        <v>3155.49</v>
      </c>
      <c r="E40">
        <v>15</v>
      </c>
      <c r="F40">
        <v>8</v>
      </c>
    </row>
    <row r="41" spans="1:6" outlineLevel="2" x14ac:dyDescent="0.3">
      <c r="A41" t="s">
        <v>30</v>
      </c>
      <c r="B41" t="s">
        <v>1070</v>
      </c>
      <c r="C41">
        <v>6538.51</v>
      </c>
      <c r="D41">
        <v>1686.63</v>
      </c>
      <c r="E41">
        <v>10</v>
      </c>
      <c r="F41">
        <v>1</v>
      </c>
    </row>
    <row r="42" spans="1:6" outlineLevel="2" x14ac:dyDescent="0.3">
      <c r="A42" t="s">
        <v>30</v>
      </c>
      <c r="B42" t="s">
        <v>1060</v>
      </c>
      <c r="C42">
        <v>4338.0200000000004</v>
      </c>
      <c r="D42">
        <v>941.58999999999992</v>
      </c>
      <c r="E42">
        <v>5</v>
      </c>
      <c r="F42">
        <v>6</v>
      </c>
    </row>
    <row r="43" spans="1:6" outlineLevel="2" x14ac:dyDescent="0.3">
      <c r="A43" t="s">
        <v>30</v>
      </c>
      <c r="B43" t="s">
        <v>1061</v>
      </c>
      <c r="C43">
        <v>6894.59</v>
      </c>
      <c r="D43">
        <v>2046.19</v>
      </c>
      <c r="E43">
        <v>11</v>
      </c>
      <c r="F43">
        <v>2</v>
      </c>
    </row>
    <row r="44" spans="1:6" outlineLevel="2" x14ac:dyDescent="0.3">
      <c r="A44" t="s">
        <v>30</v>
      </c>
      <c r="B44" t="s">
        <v>1062</v>
      </c>
      <c r="C44">
        <v>6006.6500000000005</v>
      </c>
      <c r="D44">
        <v>1368.08</v>
      </c>
      <c r="E44">
        <v>7</v>
      </c>
      <c r="F44">
        <v>6</v>
      </c>
    </row>
    <row r="45" spans="1:6" outlineLevel="2" x14ac:dyDescent="0.3">
      <c r="A45" t="s">
        <v>30</v>
      </c>
      <c r="B45" t="s">
        <v>1063</v>
      </c>
      <c r="C45">
        <v>5718.61</v>
      </c>
      <c r="D45">
        <v>1342.18</v>
      </c>
      <c r="E45">
        <v>7</v>
      </c>
      <c r="F45">
        <v>6</v>
      </c>
    </row>
    <row r="46" spans="1:6" outlineLevel="2" x14ac:dyDescent="0.3">
      <c r="A46" t="s">
        <v>30</v>
      </c>
      <c r="B46" t="s">
        <v>1064</v>
      </c>
      <c r="C46">
        <v>8016.39</v>
      </c>
      <c r="D46">
        <v>2485.71</v>
      </c>
      <c r="E46">
        <v>8</v>
      </c>
      <c r="F46">
        <v>9</v>
      </c>
    </row>
    <row r="47" spans="1:6" outlineLevel="2" x14ac:dyDescent="0.3">
      <c r="A47" t="s">
        <v>30</v>
      </c>
      <c r="B47" t="s">
        <v>1065</v>
      </c>
      <c r="C47">
        <v>5431.37</v>
      </c>
      <c r="D47">
        <v>1032.25</v>
      </c>
      <c r="E47">
        <v>5</v>
      </c>
      <c r="F47">
        <v>3</v>
      </c>
    </row>
    <row r="48" spans="1:6" outlineLevel="2" x14ac:dyDescent="0.3">
      <c r="A48" t="s">
        <v>30</v>
      </c>
      <c r="B48" t="s">
        <v>1066</v>
      </c>
      <c r="C48">
        <v>9021.380000000001</v>
      </c>
      <c r="D48">
        <v>3026.61</v>
      </c>
      <c r="E48">
        <v>7</v>
      </c>
      <c r="F48">
        <v>5</v>
      </c>
    </row>
    <row r="49" spans="1:6" outlineLevel="2" x14ac:dyDescent="0.3">
      <c r="A49" t="s">
        <v>30</v>
      </c>
      <c r="B49" t="s">
        <v>1067</v>
      </c>
      <c r="C49">
        <v>7453.18</v>
      </c>
      <c r="D49">
        <v>1835.78</v>
      </c>
      <c r="E49">
        <v>8</v>
      </c>
      <c r="F49">
        <v>6</v>
      </c>
    </row>
    <row r="50" spans="1:6" outlineLevel="2" x14ac:dyDescent="0.3">
      <c r="A50" t="s">
        <v>30</v>
      </c>
      <c r="B50" t="s">
        <v>1071</v>
      </c>
      <c r="C50">
        <v>1425.71</v>
      </c>
      <c r="D50">
        <v>356.57</v>
      </c>
      <c r="E50">
        <v>5</v>
      </c>
      <c r="F50">
        <v>5</v>
      </c>
    </row>
    <row r="51" spans="1:6" outlineLevel="1" x14ac:dyDescent="0.3">
      <c r="A51" s="14" t="s">
        <v>1083</v>
      </c>
      <c r="C51">
        <f>SUBTOTAL(9,C34:C50)</f>
        <v>115214.62000000001</v>
      </c>
      <c r="D51">
        <f>SUBTOTAL(9,D34:D50)</f>
        <v>32134.75</v>
      </c>
    </row>
    <row r="52" spans="1:6" outlineLevel="2" x14ac:dyDescent="0.3">
      <c r="A52" t="s">
        <v>22</v>
      </c>
      <c r="B52" t="s">
        <v>1068</v>
      </c>
      <c r="C52">
        <v>4059.57</v>
      </c>
      <c r="D52">
        <v>1247.83</v>
      </c>
      <c r="E52">
        <v>5</v>
      </c>
      <c r="F52">
        <v>1</v>
      </c>
    </row>
    <row r="53" spans="1:6" outlineLevel="2" x14ac:dyDescent="0.3">
      <c r="A53" t="s">
        <v>22</v>
      </c>
      <c r="B53" t="s">
        <v>1055</v>
      </c>
      <c r="C53">
        <v>5390.3499999999995</v>
      </c>
      <c r="D53">
        <v>1662.29</v>
      </c>
      <c r="E53">
        <v>5</v>
      </c>
      <c r="F53">
        <v>5</v>
      </c>
    </row>
    <row r="54" spans="1:6" outlineLevel="2" x14ac:dyDescent="0.3">
      <c r="A54" t="s">
        <v>22</v>
      </c>
      <c r="B54" t="s">
        <v>1056</v>
      </c>
      <c r="C54">
        <v>1064.19</v>
      </c>
      <c r="D54">
        <v>388.91</v>
      </c>
      <c r="E54">
        <v>3</v>
      </c>
      <c r="F54">
        <v>1</v>
      </c>
    </row>
    <row r="55" spans="1:6" outlineLevel="2" x14ac:dyDescent="0.3">
      <c r="A55" t="s">
        <v>22</v>
      </c>
      <c r="B55" t="s">
        <v>1057</v>
      </c>
      <c r="C55">
        <v>1721.74</v>
      </c>
      <c r="D55">
        <v>465.98</v>
      </c>
      <c r="E55">
        <v>3</v>
      </c>
      <c r="F55">
        <v>5</v>
      </c>
    </row>
    <row r="56" spans="1:6" outlineLevel="2" x14ac:dyDescent="0.3">
      <c r="A56" t="s">
        <v>22</v>
      </c>
      <c r="B56" t="s">
        <v>1069</v>
      </c>
      <c r="C56">
        <v>8874.1</v>
      </c>
      <c r="D56">
        <v>2315.96</v>
      </c>
      <c r="E56">
        <v>8</v>
      </c>
      <c r="F56">
        <v>3</v>
      </c>
    </row>
    <row r="57" spans="1:6" outlineLevel="2" x14ac:dyDescent="0.3">
      <c r="A57" t="s">
        <v>22</v>
      </c>
      <c r="B57" t="s">
        <v>1058</v>
      </c>
      <c r="C57">
        <v>4737.55</v>
      </c>
      <c r="D57">
        <v>1543.71</v>
      </c>
      <c r="E57">
        <v>4</v>
      </c>
      <c r="F57">
        <v>1</v>
      </c>
    </row>
    <row r="58" spans="1:6" outlineLevel="2" x14ac:dyDescent="0.3">
      <c r="A58" t="s">
        <v>22</v>
      </c>
      <c r="B58" t="s">
        <v>1059</v>
      </c>
      <c r="C58">
        <v>2262.48</v>
      </c>
      <c r="D58">
        <v>463.63</v>
      </c>
      <c r="E58">
        <v>2</v>
      </c>
      <c r="F58">
        <v>1</v>
      </c>
    </row>
    <row r="59" spans="1:6" outlineLevel="2" x14ac:dyDescent="0.3">
      <c r="A59" t="s">
        <v>22</v>
      </c>
      <c r="B59" t="s">
        <v>1070</v>
      </c>
      <c r="C59">
        <v>2443.42</v>
      </c>
      <c r="D59">
        <v>578.91999999999996</v>
      </c>
      <c r="E59">
        <v>2</v>
      </c>
      <c r="F59">
        <v>7</v>
      </c>
    </row>
    <row r="60" spans="1:6" outlineLevel="2" x14ac:dyDescent="0.3">
      <c r="A60" t="s">
        <v>22</v>
      </c>
      <c r="B60" t="s">
        <v>1060</v>
      </c>
      <c r="C60">
        <v>5589.5999999999995</v>
      </c>
      <c r="D60">
        <v>1545.11</v>
      </c>
      <c r="E60">
        <v>7</v>
      </c>
      <c r="F60">
        <v>1</v>
      </c>
    </row>
    <row r="61" spans="1:6" outlineLevel="2" x14ac:dyDescent="0.3">
      <c r="A61" t="s">
        <v>22</v>
      </c>
      <c r="B61" t="s">
        <v>1061</v>
      </c>
      <c r="C61">
        <v>7347.76</v>
      </c>
      <c r="D61">
        <v>1856.14</v>
      </c>
      <c r="E61">
        <v>7</v>
      </c>
      <c r="F61">
        <v>2</v>
      </c>
    </row>
    <row r="62" spans="1:6" outlineLevel="2" x14ac:dyDescent="0.3">
      <c r="A62" t="s">
        <v>22</v>
      </c>
      <c r="B62" t="s">
        <v>1062</v>
      </c>
      <c r="C62">
        <v>6488.83</v>
      </c>
      <c r="D62">
        <v>1394.89</v>
      </c>
      <c r="E62">
        <v>5</v>
      </c>
      <c r="F62">
        <v>5</v>
      </c>
    </row>
    <row r="63" spans="1:6" outlineLevel="2" x14ac:dyDescent="0.3">
      <c r="A63" t="s">
        <v>22</v>
      </c>
      <c r="B63" t="s">
        <v>1063</v>
      </c>
      <c r="C63">
        <v>13213.87</v>
      </c>
      <c r="D63">
        <v>3606.27</v>
      </c>
      <c r="E63">
        <v>12</v>
      </c>
      <c r="F63">
        <v>7</v>
      </c>
    </row>
    <row r="64" spans="1:6" outlineLevel="2" x14ac:dyDescent="0.3">
      <c r="A64" t="s">
        <v>22</v>
      </c>
      <c r="B64" t="s">
        <v>1064</v>
      </c>
      <c r="C64">
        <v>2048.6</v>
      </c>
      <c r="D64">
        <v>626.04999999999995</v>
      </c>
      <c r="E64">
        <v>3</v>
      </c>
      <c r="F64">
        <v>1</v>
      </c>
    </row>
    <row r="65" spans="1:6" outlineLevel="2" x14ac:dyDescent="0.3">
      <c r="A65" t="s">
        <v>22</v>
      </c>
      <c r="B65" t="s">
        <v>1065</v>
      </c>
      <c r="C65">
        <v>9137.09</v>
      </c>
      <c r="D65">
        <v>3200.92</v>
      </c>
      <c r="E65">
        <v>8</v>
      </c>
      <c r="F65">
        <v>7</v>
      </c>
    </row>
    <row r="66" spans="1:6" outlineLevel="2" x14ac:dyDescent="0.3">
      <c r="A66" t="s">
        <v>22</v>
      </c>
      <c r="B66" t="s">
        <v>1066</v>
      </c>
      <c r="C66">
        <v>3271.86</v>
      </c>
      <c r="D66">
        <v>762.28</v>
      </c>
      <c r="E66">
        <v>4</v>
      </c>
      <c r="F66">
        <v>7</v>
      </c>
    </row>
    <row r="67" spans="1:6" outlineLevel="2" x14ac:dyDescent="0.3">
      <c r="A67" t="s">
        <v>22</v>
      </c>
      <c r="B67" t="s">
        <v>1067</v>
      </c>
      <c r="C67">
        <v>6394.1900000000014</v>
      </c>
      <c r="D67">
        <v>1658.61</v>
      </c>
      <c r="E67">
        <v>7</v>
      </c>
      <c r="F67">
        <v>4</v>
      </c>
    </row>
    <row r="68" spans="1:6" outlineLevel="2" x14ac:dyDescent="0.3">
      <c r="A68" t="s">
        <v>22</v>
      </c>
      <c r="B68" t="s">
        <v>1071</v>
      </c>
      <c r="C68">
        <v>2899.87</v>
      </c>
      <c r="D68">
        <v>735.74</v>
      </c>
      <c r="E68">
        <v>2</v>
      </c>
      <c r="F68">
        <v>9</v>
      </c>
    </row>
    <row r="69" spans="1:6" outlineLevel="1" x14ac:dyDescent="0.3">
      <c r="A69" s="14" t="s">
        <v>1084</v>
      </c>
      <c r="C69">
        <f>SUBTOTAL(9,C52:C68)</f>
        <v>86945.07</v>
      </c>
      <c r="D69">
        <f>SUBTOTAL(9,D52:D68)</f>
        <v>24053.24</v>
      </c>
    </row>
    <row r="70" spans="1:6" outlineLevel="2" x14ac:dyDescent="0.3">
      <c r="A70" t="s">
        <v>173</v>
      </c>
      <c r="B70" t="s">
        <v>1068</v>
      </c>
      <c r="C70">
        <v>656.88</v>
      </c>
      <c r="D70">
        <v>167.02</v>
      </c>
      <c r="E70">
        <v>1</v>
      </c>
      <c r="F70">
        <v>9</v>
      </c>
    </row>
    <row r="71" spans="1:6" outlineLevel="2" x14ac:dyDescent="0.3">
      <c r="A71" t="s">
        <v>173</v>
      </c>
      <c r="B71" t="s">
        <v>1056</v>
      </c>
      <c r="C71">
        <v>6450.38</v>
      </c>
      <c r="D71">
        <v>1428.65</v>
      </c>
      <c r="E71">
        <v>4</v>
      </c>
      <c r="F71">
        <v>3</v>
      </c>
    </row>
    <row r="72" spans="1:6" outlineLevel="2" x14ac:dyDescent="0.3">
      <c r="A72" t="s">
        <v>173</v>
      </c>
      <c r="B72" t="s">
        <v>1069</v>
      </c>
      <c r="C72">
        <v>2045.91</v>
      </c>
      <c r="D72">
        <v>418.73</v>
      </c>
      <c r="E72">
        <v>3</v>
      </c>
      <c r="F72">
        <v>3</v>
      </c>
    </row>
    <row r="73" spans="1:6" outlineLevel="2" x14ac:dyDescent="0.3">
      <c r="A73" t="s">
        <v>173</v>
      </c>
      <c r="B73" t="s">
        <v>1058</v>
      </c>
      <c r="C73">
        <v>2355.85</v>
      </c>
      <c r="D73">
        <v>356.88</v>
      </c>
      <c r="E73">
        <v>2</v>
      </c>
      <c r="F73">
        <v>1</v>
      </c>
    </row>
    <row r="74" spans="1:6" outlineLevel="2" x14ac:dyDescent="0.3">
      <c r="A74" t="s">
        <v>173</v>
      </c>
      <c r="B74" t="s">
        <v>1059</v>
      </c>
      <c r="C74">
        <v>2376.6799999999998</v>
      </c>
      <c r="D74">
        <v>773.68</v>
      </c>
      <c r="E74">
        <v>3</v>
      </c>
      <c r="F74">
        <v>6</v>
      </c>
    </row>
    <row r="75" spans="1:6" outlineLevel="2" x14ac:dyDescent="0.3">
      <c r="A75" t="s">
        <v>173</v>
      </c>
      <c r="B75" t="s">
        <v>1060</v>
      </c>
      <c r="C75">
        <v>2832.86</v>
      </c>
      <c r="D75">
        <v>661.32999999999993</v>
      </c>
      <c r="E75">
        <v>3</v>
      </c>
      <c r="F75">
        <v>9</v>
      </c>
    </row>
    <row r="76" spans="1:6" outlineLevel="2" x14ac:dyDescent="0.3">
      <c r="A76" t="s">
        <v>173</v>
      </c>
      <c r="B76" t="s">
        <v>1061</v>
      </c>
      <c r="C76">
        <v>935.88</v>
      </c>
      <c r="D76">
        <v>186.51</v>
      </c>
      <c r="E76">
        <v>1</v>
      </c>
      <c r="F76">
        <v>4</v>
      </c>
    </row>
    <row r="77" spans="1:6" outlineLevel="2" x14ac:dyDescent="0.3">
      <c r="A77" t="s">
        <v>173</v>
      </c>
      <c r="B77" t="s">
        <v>1062</v>
      </c>
      <c r="C77">
        <v>1719.38</v>
      </c>
      <c r="D77">
        <v>447.82000000000011</v>
      </c>
      <c r="E77">
        <v>2</v>
      </c>
      <c r="F77">
        <v>1</v>
      </c>
    </row>
    <row r="78" spans="1:6" outlineLevel="2" x14ac:dyDescent="0.3">
      <c r="A78" t="s">
        <v>173</v>
      </c>
      <c r="B78" t="s">
        <v>1063</v>
      </c>
      <c r="C78">
        <v>3220</v>
      </c>
      <c r="D78">
        <v>1219.8900000000001</v>
      </c>
      <c r="E78">
        <v>1</v>
      </c>
      <c r="F78">
        <v>7</v>
      </c>
    </row>
    <row r="79" spans="1:6" outlineLevel="2" x14ac:dyDescent="0.3">
      <c r="A79" t="s">
        <v>173</v>
      </c>
      <c r="B79" t="s">
        <v>1064</v>
      </c>
      <c r="C79">
        <v>1567.87</v>
      </c>
      <c r="D79">
        <v>518.99</v>
      </c>
      <c r="E79">
        <v>3</v>
      </c>
      <c r="F79">
        <v>9</v>
      </c>
    </row>
    <row r="80" spans="1:6" outlineLevel="2" x14ac:dyDescent="0.3">
      <c r="A80" t="s">
        <v>173</v>
      </c>
      <c r="B80" t="s">
        <v>1065</v>
      </c>
      <c r="C80">
        <v>4977.83</v>
      </c>
      <c r="D80">
        <v>1410.15</v>
      </c>
      <c r="E80">
        <v>3</v>
      </c>
      <c r="F80">
        <v>3</v>
      </c>
    </row>
    <row r="81" spans="1:6" outlineLevel="2" x14ac:dyDescent="0.3">
      <c r="A81" t="s">
        <v>173</v>
      </c>
      <c r="B81" t="s">
        <v>1066</v>
      </c>
      <c r="C81">
        <v>5111.88</v>
      </c>
      <c r="D81">
        <v>1879.68</v>
      </c>
      <c r="E81">
        <v>3</v>
      </c>
      <c r="F81">
        <v>6</v>
      </c>
    </row>
    <row r="82" spans="1:6" outlineLevel="2" x14ac:dyDescent="0.3">
      <c r="A82" t="s">
        <v>173</v>
      </c>
      <c r="B82" t="s">
        <v>1067</v>
      </c>
      <c r="C82">
        <v>2766.06</v>
      </c>
      <c r="D82">
        <v>693.37</v>
      </c>
      <c r="E82">
        <v>3</v>
      </c>
      <c r="F82">
        <v>5</v>
      </c>
    </row>
    <row r="83" spans="1:6" outlineLevel="1" x14ac:dyDescent="0.3">
      <c r="A83" s="14" t="s">
        <v>1085</v>
      </c>
      <c r="C83">
        <f>SUBTOTAL(9,C70:C82)</f>
        <v>37017.46</v>
      </c>
      <c r="D83">
        <f>SUBTOTAL(9,D70:D82)</f>
        <v>10162.700000000001</v>
      </c>
    </row>
    <row r="84" spans="1:6" outlineLevel="2" x14ac:dyDescent="0.3">
      <c r="A84" t="s">
        <v>43</v>
      </c>
      <c r="B84" t="s">
        <v>1068</v>
      </c>
      <c r="C84">
        <v>843.2</v>
      </c>
      <c r="D84">
        <v>266.39</v>
      </c>
      <c r="E84">
        <v>1</v>
      </c>
      <c r="F84">
        <v>3</v>
      </c>
    </row>
    <row r="85" spans="1:6" outlineLevel="2" x14ac:dyDescent="0.3">
      <c r="A85" t="s">
        <v>43</v>
      </c>
      <c r="B85" t="s">
        <v>1055</v>
      </c>
      <c r="C85">
        <v>1171.42</v>
      </c>
      <c r="D85">
        <v>372.47</v>
      </c>
      <c r="E85">
        <v>1</v>
      </c>
      <c r="F85">
        <v>7</v>
      </c>
    </row>
    <row r="86" spans="1:6" outlineLevel="2" x14ac:dyDescent="0.3">
      <c r="A86" t="s">
        <v>43</v>
      </c>
      <c r="B86" t="s">
        <v>1056</v>
      </c>
      <c r="C86">
        <v>3043.92</v>
      </c>
      <c r="D86">
        <v>836.17000000000007</v>
      </c>
      <c r="E86">
        <v>3</v>
      </c>
      <c r="F86">
        <v>5</v>
      </c>
    </row>
    <row r="87" spans="1:6" outlineLevel="2" x14ac:dyDescent="0.3">
      <c r="A87" t="s">
        <v>43</v>
      </c>
      <c r="B87" t="s">
        <v>1057</v>
      </c>
      <c r="C87">
        <v>1269.94</v>
      </c>
      <c r="D87">
        <v>439</v>
      </c>
      <c r="E87">
        <v>2</v>
      </c>
      <c r="F87">
        <v>5</v>
      </c>
    </row>
    <row r="88" spans="1:6" outlineLevel="2" x14ac:dyDescent="0.3">
      <c r="A88" t="s">
        <v>43</v>
      </c>
      <c r="B88" t="s">
        <v>1069</v>
      </c>
      <c r="C88">
        <v>6434.71</v>
      </c>
      <c r="D88">
        <v>1817.21</v>
      </c>
      <c r="E88">
        <v>7</v>
      </c>
      <c r="F88">
        <v>7</v>
      </c>
    </row>
    <row r="89" spans="1:6" outlineLevel="2" x14ac:dyDescent="0.3">
      <c r="A89" t="s">
        <v>43</v>
      </c>
      <c r="B89" t="s">
        <v>1058</v>
      </c>
      <c r="C89">
        <v>2631.25</v>
      </c>
      <c r="D89">
        <v>942.72</v>
      </c>
      <c r="E89">
        <v>2</v>
      </c>
      <c r="F89">
        <v>4</v>
      </c>
    </row>
    <row r="90" spans="1:6" outlineLevel="2" x14ac:dyDescent="0.3">
      <c r="A90" t="s">
        <v>43</v>
      </c>
      <c r="B90" t="s">
        <v>1059</v>
      </c>
      <c r="C90">
        <v>1201.2</v>
      </c>
      <c r="D90">
        <v>329.23</v>
      </c>
      <c r="E90">
        <v>1</v>
      </c>
      <c r="F90">
        <v>8</v>
      </c>
    </row>
    <row r="91" spans="1:6" outlineLevel="2" x14ac:dyDescent="0.3">
      <c r="A91" t="s">
        <v>43</v>
      </c>
      <c r="B91" t="s">
        <v>1070</v>
      </c>
      <c r="C91">
        <v>7486.09</v>
      </c>
      <c r="D91">
        <v>2363.9299999999998</v>
      </c>
      <c r="E91">
        <v>5</v>
      </c>
      <c r="F91">
        <v>3</v>
      </c>
    </row>
    <row r="92" spans="1:6" outlineLevel="2" x14ac:dyDescent="0.3">
      <c r="A92" t="s">
        <v>43</v>
      </c>
      <c r="B92" t="s">
        <v>1060</v>
      </c>
      <c r="C92">
        <v>1381.76</v>
      </c>
      <c r="D92">
        <v>269.22000000000003</v>
      </c>
      <c r="E92">
        <v>1</v>
      </c>
      <c r="F92">
        <v>6</v>
      </c>
    </row>
    <row r="93" spans="1:6" outlineLevel="2" x14ac:dyDescent="0.3">
      <c r="A93" t="s">
        <v>43</v>
      </c>
      <c r="B93" t="s">
        <v>1061</v>
      </c>
      <c r="C93">
        <v>338.16</v>
      </c>
      <c r="D93">
        <v>134.77000000000001</v>
      </c>
      <c r="E93">
        <v>1</v>
      </c>
      <c r="F93">
        <v>4</v>
      </c>
    </row>
    <row r="94" spans="1:6" outlineLevel="2" x14ac:dyDescent="0.3">
      <c r="A94" t="s">
        <v>43</v>
      </c>
      <c r="B94" t="s">
        <v>1062</v>
      </c>
      <c r="C94">
        <v>3025.92</v>
      </c>
      <c r="D94">
        <v>866.08</v>
      </c>
      <c r="E94">
        <v>3</v>
      </c>
      <c r="F94">
        <v>7</v>
      </c>
    </row>
    <row r="95" spans="1:6" outlineLevel="2" x14ac:dyDescent="0.3">
      <c r="A95" t="s">
        <v>43</v>
      </c>
      <c r="B95" t="s">
        <v>1063</v>
      </c>
      <c r="C95">
        <v>3405.03</v>
      </c>
      <c r="D95">
        <v>884.06</v>
      </c>
      <c r="E95">
        <v>4</v>
      </c>
      <c r="F95">
        <v>7</v>
      </c>
    </row>
    <row r="96" spans="1:6" outlineLevel="2" x14ac:dyDescent="0.3">
      <c r="A96" t="s">
        <v>43</v>
      </c>
      <c r="B96" t="s">
        <v>1064</v>
      </c>
      <c r="C96">
        <v>263.04000000000002</v>
      </c>
      <c r="D96">
        <v>41.4</v>
      </c>
      <c r="E96">
        <v>1</v>
      </c>
      <c r="F96">
        <v>8</v>
      </c>
    </row>
    <row r="97" spans="1:6" outlineLevel="2" x14ac:dyDescent="0.3">
      <c r="A97" t="s">
        <v>43</v>
      </c>
      <c r="B97" t="s">
        <v>1065</v>
      </c>
      <c r="C97">
        <v>168.63</v>
      </c>
      <c r="D97">
        <v>41.07</v>
      </c>
      <c r="E97">
        <v>1</v>
      </c>
      <c r="F97">
        <v>9</v>
      </c>
    </row>
    <row r="98" spans="1:6" outlineLevel="2" x14ac:dyDescent="0.3">
      <c r="A98" t="s">
        <v>43</v>
      </c>
      <c r="B98" t="s">
        <v>1067</v>
      </c>
      <c r="C98">
        <v>1172.08</v>
      </c>
      <c r="D98">
        <v>375.08</v>
      </c>
      <c r="E98">
        <v>1</v>
      </c>
      <c r="F98">
        <v>7</v>
      </c>
    </row>
    <row r="99" spans="1:6" outlineLevel="2" x14ac:dyDescent="0.3">
      <c r="A99" t="s">
        <v>43</v>
      </c>
      <c r="B99" t="s">
        <v>1071</v>
      </c>
      <c r="C99">
        <v>1027.68</v>
      </c>
      <c r="D99">
        <v>357.73</v>
      </c>
      <c r="E99">
        <v>1</v>
      </c>
      <c r="F99">
        <v>1</v>
      </c>
    </row>
    <row r="100" spans="1:6" outlineLevel="1" x14ac:dyDescent="0.3">
      <c r="A100" s="14" t="s">
        <v>1086</v>
      </c>
      <c r="C100">
        <f>SUBTOTAL(9,C84:C99)</f>
        <v>34864.03</v>
      </c>
      <c r="D100">
        <f>SUBTOTAL(9,D84:D99)</f>
        <v>10336.530000000001</v>
      </c>
    </row>
    <row r="101" spans="1:6" x14ac:dyDescent="0.3">
      <c r="A101" s="14" t="s">
        <v>1075</v>
      </c>
      <c r="C101">
        <f>SUBTOTAL(9,C2:C99)</f>
        <v>474704.61999999994</v>
      </c>
      <c r="D101">
        <f>SUBTOTAL(9,D2:D99)</f>
        <v>133570.4</v>
      </c>
    </row>
  </sheetData>
  <sortState xmlns:xlrd2="http://schemas.microsoft.com/office/spreadsheetml/2017/richdata2" ref="A2:F99">
    <sortCondition ref="A2:A99"/>
  </sortState>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584DD2-A613-43D9-88DE-4E7FB9C351CE}">
  <dimension ref="A1:F94"/>
  <sheetViews>
    <sheetView workbookViewId="0">
      <selection activeCell="D1" sqref="D1:D1048576"/>
    </sheetView>
  </sheetViews>
  <sheetFormatPr defaultRowHeight="14.4" x14ac:dyDescent="0.3"/>
  <sheetData>
    <row r="1" spans="1:6" x14ac:dyDescent="0.3">
      <c r="A1" s="11" t="s">
        <v>13</v>
      </c>
      <c r="B1" s="11" t="s">
        <v>1051</v>
      </c>
      <c r="C1" s="11" t="s">
        <v>8</v>
      </c>
      <c r="D1" s="11" t="s">
        <v>1052</v>
      </c>
      <c r="E1" s="11" t="s">
        <v>1053</v>
      </c>
      <c r="F1" s="11" t="s">
        <v>1054</v>
      </c>
    </row>
    <row r="2" spans="1:6" x14ac:dyDescent="0.3">
      <c r="A2" t="s">
        <v>108</v>
      </c>
      <c r="B2" t="s">
        <v>1055</v>
      </c>
      <c r="C2">
        <v>3778.57</v>
      </c>
      <c r="D2">
        <v>1212.1199999999999</v>
      </c>
      <c r="E2">
        <v>3</v>
      </c>
      <c r="F2">
        <v>5</v>
      </c>
    </row>
    <row r="3" spans="1:6" x14ac:dyDescent="0.3">
      <c r="A3" t="s">
        <v>108</v>
      </c>
      <c r="B3" t="s">
        <v>1056</v>
      </c>
      <c r="C3">
        <v>3519.18</v>
      </c>
      <c r="D3">
        <v>910.68</v>
      </c>
      <c r="E3">
        <v>2</v>
      </c>
      <c r="F3">
        <v>3</v>
      </c>
    </row>
    <row r="4" spans="1:6" x14ac:dyDescent="0.3">
      <c r="A4" t="s">
        <v>108</v>
      </c>
      <c r="B4" t="s">
        <v>1057</v>
      </c>
      <c r="C4">
        <v>1765.51</v>
      </c>
      <c r="D4">
        <v>530.96</v>
      </c>
      <c r="E4">
        <v>2</v>
      </c>
      <c r="F4">
        <v>4</v>
      </c>
    </row>
    <row r="5" spans="1:6" x14ac:dyDescent="0.3">
      <c r="A5" t="s">
        <v>108</v>
      </c>
      <c r="B5" t="s">
        <v>1058</v>
      </c>
      <c r="C5">
        <v>4768.72</v>
      </c>
      <c r="D5">
        <v>1717.12</v>
      </c>
      <c r="E5">
        <v>3</v>
      </c>
      <c r="F5">
        <v>7</v>
      </c>
    </row>
    <row r="6" spans="1:6" x14ac:dyDescent="0.3">
      <c r="A6" t="s">
        <v>108</v>
      </c>
      <c r="B6" t="s">
        <v>1059</v>
      </c>
      <c r="C6">
        <v>751.14</v>
      </c>
      <c r="D6">
        <v>168.93</v>
      </c>
      <c r="E6">
        <v>4</v>
      </c>
      <c r="F6">
        <v>8</v>
      </c>
    </row>
    <row r="7" spans="1:6" x14ac:dyDescent="0.3">
      <c r="A7" t="s">
        <v>108</v>
      </c>
      <c r="B7" t="s">
        <v>1060</v>
      </c>
      <c r="C7">
        <v>2704.41</v>
      </c>
      <c r="D7">
        <v>772.61</v>
      </c>
      <c r="E7">
        <v>3</v>
      </c>
      <c r="F7">
        <v>5</v>
      </c>
    </row>
    <row r="8" spans="1:6" x14ac:dyDescent="0.3">
      <c r="A8" t="s">
        <v>108</v>
      </c>
      <c r="B8" t="s">
        <v>1061</v>
      </c>
      <c r="C8">
        <v>908.84</v>
      </c>
      <c r="D8">
        <v>264.43</v>
      </c>
      <c r="E8">
        <v>2</v>
      </c>
      <c r="F8">
        <v>6</v>
      </c>
    </row>
    <row r="9" spans="1:6" x14ac:dyDescent="0.3">
      <c r="A9" t="s">
        <v>108</v>
      </c>
      <c r="B9" t="s">
        <v>1062</v>
      </c>
      <c r="C9">
        <v>794.82</v>
      </c>
      <c r="D9">
        <v>255.37</v>
      </c>
      <c r="E9">
        <v>1</v>
      </c>
      <c r="F9">
        <v>7</v>
      </c>
    </row>
    <row r="10" spans="1:6" x14ac:dyDescent="0.3">
      <c r="A10" t="s">
        <v>108</v>
      </c>
      <c r="B10" t="s">
        <v>1063</v>
      </c>
      <c r="C10">
        <v>1882.75</v>
      </c>
      <c r="D10">
        <v>346.8</v>
      </c>
      <c r="E10">
        <v>4</v>
      </c>
      <c r="F10">
        <v>3</v>
      </c>
    </row>
    <row r="11" spans="1:6" x14ac:dyDescent="0.3">
      <c r="A11" t="s">
        <v>108</v>
      </c>
      <c r="B11" t="s">
        <v>1064</v>
      </c>
      <c r="C11">
        <v>3269.37</v>
      </c>
      <c r="D11">
        <v>1085.4100000000001</v>
      </c>
      <c r="E11">
        <v>2</v>
      </c>
      <c r="F11">
        <v>2</v>
      </c>
    </row>
    <row r="12" spans="1:6" x14ac:dyDescent="0.3">
      <c r="A12" t="s">
        <v>108</v>
      </c>
      <c r="B12" t="s">
        <v>1065</v>
      </c>
      <c r="C12">
        <v>412.62</v>
      </c>
      <c r="D12">
        <v>155.44</v>
      </c>
      <c r="E12">
        <v>1</v>
      </c>
      <c r="F12">
        <v>8</v>
      </c>
    </row>
    <row r="13" spans="1:6" x14ac:dyDescent="0.3">
      <c r="A13" t="s">
        <v>108</v>
      </c>
      <c r="B13" t="s">
        <v>1066</v>
      </c>
      <c r="C13">
        <v>2964.8</v>
      </c>
      <c r="D13">
        <v>920.04</v>
      </c>
      <c r="E13">
        <v>4</v>
      </c>
      <c r="F13">
        <v>4</v>
      </c>
    </row>
    <row r="14" spans="1:6" x14ac:dyDescent="0.3">
      <c r="A14" t="s">
        <v>108</v>
      </c>
      <c r="B14" t="s">
        <v>1067</v>
      </c>
      <c r="C14">
        <v>1974.31</v>
      </c>
      <c r="D14">
        <v>627.41</v>
      </c>
      <c r="E14">
        <v>2</v>
      </c>
      <c r="F14">
        <v>9</v>
      </c>
    </row>
    <row r="15" spans="1:6" x14ac:dyDescent="0.3">
      <c r="A15" t="s">
        <v>66</v>
      </c>
      <c r="B15" t="s">
        <v>1068</v>
      </c>
      <c r="C15">
        <v>12118.86</v>
      </c>
      <c r="D15">
        <v>2799.31</v>
      </c>
      <c r="E15">
        <v>11</v>
      </c>
      <c r="F15">
        <v>5</v>
      </c>
    </row>
    <row r="16" spans="1:6" x14ac:dyDescent="0.3">
      <c r="A16" t="s">
        <v>66</v>
      </c>
      <c r="B16" t="s">
        <v>1055</v>
      </c>
      <c r="C16">
        <v>8766.07</v>
      </c>
      <c r="D16">
        <v>2416.6</v>
      </c>
      <c r="E16">
        <v>9</v>
      </c>
      <c r="F16">
        <v>6</v>
      </c>
    </row>
    <row r="17" spans="1:6" x14ac:dyDescent="0.3">
      <c r="A17" t="s">
        <v>66</v>
      </c>
      <c r="B17" t="s">
        <v>1056</v>
      </c>
      <c r="C17">
        <v>7955.66</v>
      </c>
      <c r="D17">
        <v>2329.09</v>
      </c>
      <c r="E17">
        <v>9</v>
      </c>
      <c r="F17">
        <v>1</v>
      </c>
    </row>
    <row r="18" spans="1:6" x14ac:dyDescent="0.3">
      <c r="A18" t="s">
        <v>66</v>
      </c>
      <c r="B18" t="s">
        <v>1057</v>
      </c>
      <c r="C18">
        <v>5871.72</v>
      </c>
      <c r="D18">
        <v>1889.51</v>
      </c>
      <c r="E18">
        <v>6</v>
      </c>
      <c r="F18">
        <v>1</v>
      </c>
    </row>
    <row r="19" spans="1:6" x14ac:dyDescent="0.3">
      <c r="A19" t="s">
        <v>66</v>
      </c>
      <c r="B19" t="s">
        <v>1069</v>
      </c>
      <c r="C19">
        <v>5008.9399999999996</v>
      </c>
      <c r="D19">
        <v>1129.83</v>
      </c>
      <c r="E19">
        <v>7</v>
      </c>
      <c r="F19">
        <v>8</v>
      </c>
    </row>
    <row r="20" spans="1:6" x14ac:dyDescent="0.3">
      <c r="A20" t="s">
        <v>66</v>
      </c>
      <c r="B20" t="s">
        <v>1058</v>
      </c>
      <c r="C20">
        <v>8767.11</v>
      </c>
      <c r="D20">
        <v>2622.31</v>
      </c>
      <c r="E20">
        <v>7</v>
      </c>
      <c r="F20">
        <v>3</v>
      </c>
    </row>
    <row r="21" spans="1:6" x14ac:dyDescent="0.3">
      <c r="A21" t="s">
        <v>66</v>
      </c>
      <c r="B21" t="s">
        <v>1059</v>
      </c>
      <c r="C21">
        <v>13074.39</v>
      </c>
      <c r="D21">
        <v>3550.23</v>
      </c>
      <c r="E21">
        <v>11</v>
      </c>
      <c r="F21">
        <v>2</v>
      </c>
    </row>
    <row r="22" spans="1:6" x14ac:dyDescent="0.3">
      <c r="A22" t="s">
        <v>66</v>
      </c>
      <c r="B22" t="s">
        <v>1070</v>
      </c>
      <c r="C22">
        <v>12111.05</v>
      </c>
      <c r="D22">
        <v>3346.91</v>
      </c>
      <c r="E22">
        <v>11</v>
      </c>
      <c r="F22">
        <v>1</v>
      </c>
    </row>
    <row r="23" spans="1:6" x14ac:dyDescent="0.3">
      <c r="A23" t="s">
        <v>66</v>
      </c>
      <c r="B23" t="s">
        <v>1060</v>
      </c>
      <c r="C23">
        <v>14892.08</v>
      </c>
      <c r="D23">
        <v>4197.32</v>
      </c>
      <c r="E23">
        <v>19</v>
      </c>
      <c r="F23">
        <v>1</v>
      </c>
    </row>
    <row r="24" spans="1:6" x14ac:dyDescent="0.3">
      <c r="A24" t="s">
        <v>66</v>
      </c>
      <c r="B24" t="s">
        <v>1061</v>
      </c>
      <c r="C24">
        <v>8946.65</v>
      </c>
      <c r="D24">
        <v>3064.47</v>
      </c>
      <c r="E24">
        <v>9</v>
      </c>
      <c r="F24">
        <v>9</v>
      </c>
    </row>
    <row r="25" spans="1:6" x14ac:dyDescent="0.3">
      <c r="A25" t="s">
        <v>66</v>
      </c>
      <c r="B25" t="s">
        <v>1062</v>
      </c>
      <c r="C25">
        <v>13730.81</v>
      </c>
      <c r="D25">
        <v>3430.89</v>
      </c>
      <c r="E25">
        <v>13</v>
      </c>
      <c r="F25">
        <v>8</v>
      </c>
    </row>
    <row r="26" spans="1:6" x14ac:dyDescent="0.3">
      <c r="A26" t="s">
        <v>66</v>
      </c>
      <c r="B26" t="s">
        <v>1063</v>
      </c>
      <c r="C26">
        <v>11679.03</v>
      </c>
      <c r="D26">
        <v>3081.7</v>
      </c>
      <c r="E26">
        <v>11</v>
      </c>
      <c r="F26">
        <v>3</v>
      </c>
    </row>
    <row r="27" spans="1:6" x14ac:dyDescent="0.3">
      <c r="A27" t="s">
        <v>66</v>
      </c>
      <c r="B27" t="s">
        <v>1064</v>
      </c>
      <c r="C27">
        <v>9897.75</v>
      </c>
      <c r="D27">
        <v>2652.22</v>
      </c>
      <c r="E27">
        <v>14</v>
      </c>
      <c r="F27">
        <v>5</v>
      </c>
    </row>
    <row r="28" spans="1:6" x14ac:dyDescent="0.3">
      <c r="A28" t="s">
        <v>66</v>
      </c>
      <c r="B28" t="s">
        <v>1065</v>
      </c>
      <c r="C28">
        <v>5404.6900000000014</v>
      </c>
      <c r="D28">
        <v>1469.09</v>
      </c>
      <c r="E28">
        <v>8</v>
      </c>
      <c r="F28">
        <v>3</v>
      </c>
    </row>
    <row r="29" spans="1:6" x14ac:dyDescent="0.3">
      <c r="A29" t="s">
        <v>66</v>
      </c>
      <c r="B29" t="s">
        <v>1066</v>
      </c>
      <c r="C29">
        <v>11784.96</v>
      </c>
      <c r="D29">
        <v>3759.57</v>
      </c>
      <c r="E29">
        <v>9</v>
      </c>
      <c r="F29">
        <v>5</v>
      </c>
    </row>
    <row r="30" spans="1:6" x14ac:dyDescent="0.3">
      <c r="A30" t="s">
        <v>66</v>
      </c>
      <c r="B30" t="s">
        <v>1067</v>
      </c>
      <c r="C30">
        <v>16779.43</v>
      </c>
      <c r="D30">
        <v>5047.63</v>
      </c>
      <c r="E30">
        <v>17</v>
      </c>
      <c r="F30">
        <v>8</v>
      </c>
    </row>
    <row r="31" spans="1:6" x14ac:dyDescent="0.3">
      <c r="A31" t="s">
        <v>66</v>
      </c>
      <c r="B31" t="s">
        <v>1071</v>
      </c>
      <c r="C31">
        <v>4379.2</v>
      </c>
      <c r="D31">
        <v>1129.18</v>
      </c>
      <c r="E31">
        <v>8</v>
      </c>
      <c r="F31">
        <v>1</v>
      </c>
    </row>
    <row r="32" spans="1:6" x14ac:dyDescent="0.3">
      <c r="A32" t="s">
        <v>30</v>
      </c>
      <c r="B32" t="s">
        <v>1068</v>
      </c>
      <c r="C32">
        <v>5963.8</v>
      </c>
      <c r="D32">
        <v>1573.73</v>
      </c>
      <c r="E32">
        <v>5</v>
      </c>
      <c r="F32">
        <v>5</v>
      </c>
    </row>
    <row r="33" spans="1:6" x14ac:dyDescent="0.3">
      <c r="A33" t="s">
        <v>30</v>
      </c>
      <c r="B33" t="s">
        <v>1055</v>
      </c>
      <c r="C33">
        <v>10805.59</v>
      </c>
      <c r="D33">
        <v>3570.55</v>
      </c>
      <c r="E33">
        <v>11</v>
      </c>
      <c r="F33">
        <v>1</v>
      </c>
    </row>
    <row r="34" spans="1:6" x14ac:dyDescent="0.3">
      <c r="A34" t="s">
        <v>30</v>
      </c>
      <c r="B34" t="s">
        <v>1056</v>
      </c>
      <c r="C34">
        <v>5417.25</v>
      </c>
      <c r="D34">
        <v>1555.47</v>
      </c>
      <c r="E34">
        <v>5</v>
      </c>
      <c r="F34">
        <v>7</v>
      </c>
    </row>
    <row r="35" spans="1:6" x14ac:dyDescent="0.3">
      <c r="A35" t="s">
        <v>30</v>
      </c>
      <c r="B35" t="s">
        <v>1057</v>
      </c>
      <c r="C35">
        <v>3447.44</v>
      </c>
      <c r="D35">
        <v>997.16000000000008</v>
      </c>
      <c r="E35">
        <v>5</v>
      </c>
      <c r="F35">
        <v>8</v>
      </c>
    </row>
    <row r="36" spans="1:6" x14ac:dyDescent="0.3">
      <c r="A36" t="s">
        <v>30</v>
      </c>
      <c r="B36" t="s">
        <v>1069</v>
      </c>
      <c r="C36">
        <v>2680.99</v>
      </c>
      <c r="D36">
        <v>567.59</v>
      </c>
      <c r="E36">
        <v>4</v>
      </c>
      <c r="F36">
        <v>1</v>
      </c>
    </row>
    <row r="37" spans="1:6" x14ac:dyDescent="0.3">
      <c r="A37" t="s">
        <v>30</v>
      </c>
      <c r="B37" t="s">
        <v>1058</v>
      </c>
      <c r="C37">
        <v>15432.12</v>
      </c>
      <c r="D37">
        <v>4593.17</v>
      </c>
      <c r="E37">
        <v>16</v>
      </c>
      <c r="F37">
        <v>1</v>
      </c>
    </row>
    <row r="38" spans="1:6" x14ac:dyDescent="0.3">
      <c r="A38" t="s">
        <v>30</v>
      </c>
      <c r="B38" t="s">
        <v>1059</v>
      </c>
      <c r="C38">
        <v>10623.02</v>
      </c>
      <c r="D38">
        <v>3155.49</v>
      </c>
      <c r="E38">
        <v>15</v>
      </c>
      <c r="F38">
        <v>8</v>
      </c>
    </row>
    <row r="39" spans="1:6" x14ac:dyDescent="0.3">
      <c r="A39" t="s">
        <v>30</v>
      </c>
      <c r="B39" t="s">
        <v>1070</v>
      </c>
      <c r="C39">
        <v>6538.51</v>
      </c>
      <c r="D39">
        <v>1686.63</v>
      </c>
      <c r="E39">
        <v>10</v>
      </c>
      <c r="F39">
        <v>1</v>
      </c>
    </row>
    <row r="40" spans="1:6" x14ac:dyDescent="0.3">
      <c r="A40" t="s">
        <v>30</v>
      </c>
      <c r="B40" t="s">
        <v>1060</v>
      </c>
      <c r="C40">
        <v>4338.0200000000004</v>
      </c>
      <c r="D40">
        <v>941.58999999999992</v>
      </c>
      <c r="E40">
        <v>5</v>
      </c>
      <c r="F40">
        <v>6</v>
      </c>
    </row>
    <row r="41" spans="1:6" x14ac:dyDescent="0.3">
      <c r="A41" t="s">
        <v>30</v>
      </c>
      <c r="B41" t="s">
        <v>1061</v>
      </c>
      <c r="C41">
        <v>6894.59</v>
      </c>
      <c r="D41">
        <v>2046.19</v>
      </c>
      <c r="E41">
        <v>11</v>
      </c>
      <c r="F41">
        <v>2</v>
      </c>
    </row>
    <row r="42" spans="1:6" x14ac:dyDescent="0.3">
      <c r="A42" t="s">
        <v>30</v>
      </c>
      <c r="B42" t="s">
        <v>1062</v>
      </c>
      <c r="C42">
        <v>6006.6500000000005</v>
      </c>
      <c r="D42">
        <v>1368.08</v>
      </c>
      <c r="E42">
        <v>7</v>
      </c>
      <c r="F42">
        <v>6</v>
      </c>
    </row>
    <row r="43" spans="1:6" x14ac:dyDescent="0.3">
      <c r="A43" t="s">
        <v>30</v>
      </c>
      <c r="B43" t="s">
        <v>1063</v>
      </c>
      <c r="C43">
        <v>5718.61</v>
      </c>
      <c r="D43">
        <v>1342.18</v>
      </c>
      <c r="E43">
        <v>7</v>
      </c>
      <c r="F43">
        <v>6</v>
      </c>
    </row>
    <row r="44" spans="1:6" x14ac:dyDescent="0.3">
      <c r="A44" t="s">
        <v>30</v>
      </c>
      <c r="B44" t="s">
        <v>1064</v>
      </c>
      <c r="C44">
        <v>8016.39</v>
      </c>
      <c r="D44">
        <v>2485.71</v>
      </c>
      <c r="E44">
        <v>8</v>
      </c>
      <c r="F44">
        <v>9</v>
      </c>
    </row>
    <row r="45" spans="1:6" x14ac:dyDescent="0.3">
      <c r="A45" t="s">
        <v>30</v>
      </c>
      <c r="B45" t="s">
        <v>1065</v>
      </c>
      <c r="C45">
        <v>5431.37</v>
      </c>
      <c r="D45">
        <v>1032.25</v>
      </c>
      <c r="E45">
        <v>5</v>
      </c>
      <c r="F45">
        <v>3</v>
      </c>
    </row>
    <row r="46" spans="1:6" x14ac:dyDescent="0.3">
      <c r="A46" t="s">
        <v>30</v>
      </c>
      <c r="B46" t="s">
        <v>1066</v>
      </c>
      <c r="C46">
        <v>9021.380000000001</v>
      </c>
      <c r="D46">
        <v>3026.61</v>
      </c>
      <c r="E46">
        <v>7</v>
      </c>
      <c r="F46">
        <v>5</v>
      </c>
    </row>
    <row r="47" spans="1:6" x14ac:dyDescent="0.3">
      <c r="A47" t="s">
        <v>30</v>
      </c>
      <c r="B47" t="s">
        <v>1067</v>
      </c>
      <c r="C47">
        <v>7453.18</v>
      </c>
      <c r="D47">
        <v>1835.78</v>
      </c>
      <c r="E47">
        <v>8</v>
      </c>
      <c r="F47">
        <v>6</v>
      </c>
    </row>
    <row r="48" spans="1:6" x14ac:dyDescent="0.3">
      <c r="A48" t="s">
        <v>30</v>
      </c>
      <c r="B48" t="s">
        <v>1071</v>
      </c>
      <c r="C48">
        <v>1425.71</v>
      </c>
      <c r="D48">
        <v>356.57</v>
      </c>
      <c r="E48">
        <v>5</v>
      </c>
      <c r="F48">
        <v>5</v>
      </c>
    </row>
    <row r="49" spans="1:6" x14ac:dyDescent="0.3">
      <c r="A49" t="s">
        <v>22</v>
      </c>
      <c r="B49" t="s">
        <v>1068</v>
      </c>
      <c r="C49">
        <v>4059.57</v>
      </c>
      <c r="D49">
        <v>1247.83</v>
      </c>
      <c r="E49">
        <v>5</v>
      </c>
      <c r="F49">
        <v>1</v>
      </c>
    </row>
    <row r="50" spans="1:6" x14ac:dyDescent="0.3">
      <c r="A50" t="s">
        <v>22</v>
      </c>
      <c r="B50" t="s">
        <v>1055</v>
      </c>
      <c r="C50">
        <v>5390.3499999999995</v>
      </c>
      <c r="D50">
        <v>1662.29</v>
      </c>
      <c r="E50">
        <v>5</v>
      </c>
      <c r="F50">
        <v>5</v>
      </c>
    </row>
    <row r="51" spans="1:6" x14ac:dyDescent="0.3">
      <c r="A51" t="s">
        <v>22</v>
      </c>
      <c r="B51" t="s">
        <v>1056</v>
      </c>
      <c r="C51">
        <v>1064.19</v>
      </c>
      <c r="D51">
        <v>388.91</v>
      </c>
      <c r="E51">
        <v>3</v>
      </c>
      <c r="F51">
        <v>1</v>
      </c>
    </row>
    <row r="52" spans="1:6" x14ac:dyDescent="0.3">
      <c r="A52" t="s">
        <v>22</v>
      </c>
      <c r="B52" t="s">
        <v>1057</v>
      </c>
      <c r="C52">
        <v>1721.74</v>
      </c>
      <c r="D52">
        <v>465.98</v>
      </c>
      <c r="E52">
        <v>3</v>
      </c>
      <c r="F52">
        <v>5</v>
      </c>
    </row>
    <row r="53" spans="1:6" x14ac:dyDescent="0.3">
      <c r="A53" t="s">
        <v>22</v>
      </c>
      <c r="B53" t="s">
        <v>1069</v>
      </c>
      <c r="C53">
        <v>8874.1</v>
      </c>
      <c r="D53">
        <v>2315.96</v>
      </c>
      <c r="E53">
        <v>8</v>
      </c>
      <c r="F53">
        <v>3</v>
      </c>
    </row>
    <row r="54" spans="1:6" x14ac:dyDescent="0.3">
      <c r="A54" t="s">
        <v>22</v>
      </c>
      <c r="B54" t="s">
        <v>1058</v>
      </c>
      <c r="C54">
        <v>4737.55</v>
      </c>
      <c r="D54">
        <v>1543.71</v>
      </c>
      <c r="E54">
        <v>4</v>
      </c>
      <c r="F54">
        <v>1</v>
      </c>
    </row>
    <row r="55" spans="1:6" x14ac:dyDescent="0.3">
      <c r="A55" t="s">
        <v>22</v>
      </c>
      <c r="B55" t="s">
        <v>1059</v>
      </c>
      <c r="C55">
        <v>2262.48</v>
      </c>
      <c r="D55">
        <v>463.63</v>
      </c>
      <c r="E55">
        <v>2</v>
      </c>
      <c r="F55">
        <v>1</v>
      </c>
    </row>
    <row r="56" spans="1:6" x14ac:dyDescent="0.3">
      <c r="A56" t="s">
        <v>22</v>
      </c>
      <c r="B56" t="s">
        <v>1070</v>
      </c>
      <c r="C56">
        <v>2443.42</v>
      </c>
      <c r="D56">
        <v>578.91999999999996</v>
      </c>
      <c r="E56">
        <v>2</v>
      </c>
      <c r="F56">
        <v>7</v>
      </c>
    </row>
    <row r="57" spans="1:6" x14ac:dyDescent="0.3">
      <c r="A57" t="s">
        <v>22</v>
      </c>
      <c r="B57" t="s">
        <v>1060</v>
      </c>
      <c r="C57">
        <v>5589.5999999999995</v>
      </c>
      <c r="D57">
        <v>1545.11</v>
      </c>
      <c r="E57">
        <v>7</v>
      </c>
      <c r="F57">
        <v>1</v>
      </c>
    </row>
    <row r="58" spans="1:6" x14ac:dyDescent="0.3">
      <c r="A58" t="s">
        <v>22</v>
      </c>
      <c r="B58" t="s">
        <v>1061</v>
      </c>
      <c r="C58">
        <v>7347.76</v>
      </c>
      <c r="D58">
        <v>1856.14</v>
      </c>
      <c r="E58">
        <v>7</v>
      </c>
      <c r="F58">
        <v>2</v>
      </c>
    </row>
    <row r="59" spans="1:6" x14ac:dyDescent="0.3">
      <c r="A59" t="s">
        <v>22</v>
      </c>
      <c r="B59" t="s">
        <v>1062</v>
      </c>
      <c r="C59">
        <v>6488.83</v>
      </c>
      <c r="D59">
        <v>1394.89</v>
      </c>
      <c r="E59">
        <v>5</v>
      </c>
      <c r="F59">
        <v>5</v>
      </c>
    </row>
    <row r="60" spans="1:6" x14ac:dyDescent="0.3">
      <c r="A60" t="s">
        <v>22</v>
      </c>
      <c r="B60" t="s">
        <v>1063</v>
      </c>
      <c r="C60">
        <v>13213.87</v>
      </c>
      <c r="D60">
        <v>3606.27</v>
      </c>
      <c r="E60">
        <v>12</v>
      </c>
      <c r="F60">
        <v>7</v>
      </c>
    </row>
    <row r="61" spans="1:6" x14ac:dyDescent="0.3">
      <c r="A61" t="s">
        <v>22</v>
      </c>
      <c r="B61" t="s">
        <v>1064</v>
      </c>
      <c r="C61">
        <v>2048.6</v>
      </c>
      <c r="D61">
        <v>626.04999999999995</v>
      </c>
      <c r="E61">
        <v>3</v>
      </c>
      <c r="F61">
        <v>1</v>
      </c>
    </row>
    <row r="62" spans="1:6" x14ac:dyDescent="0.3">
      <c r="A62" t="s">
        <v>22</v>
      </c>
      <c r="B62" t="s">
        <v>1065</v>
      </c>
      <c r="C62">
        <v>9137.09</v>
      </c>
      <c r="D62">
        <v>3200.92</v>
      </c>
      <c r="E62">
        <v>8</v>
      </c>
      <c r="F62">
        <v>7</v>
      </c>
    </row>
    <row r="63" spans="1:6" x14ac:dyDescent="0.3">
      <c r="A63" t="s">
        <v>22</v>
      </c>
      <c r="B63" t="s">
        <v>1066</v>
      </c>
      <c r="C63">
        <v>3271.86</v>
      </c>
      <c r="D63">
        <v>762.28</v>
      </c>
      <c r="E63">
        <v>4</v>
      </c>
      <c r="F63">
        <v>7</v>
      </c>
    </row>
    <row r="64" spans="1:6" x14ac:dyDescent="0.3">
      <c r="A64" t="s">
        <v>22</v>
      </c>
      <c r="B64" t="s">
        <v>1067</v>
      </c>
      <c r="C64">
        <v>6394.1900000000014</v>
      </c>
      <c r="D64">
        <v>1658.61</v>
      </c>
      <c r="E64">
        <v>7</v>
      </c>
      <c r="F64">
        <v>4</v>
      </c>
    </row>
    <row r="65" spans="1:6" x14ac:dyDescent="0.3">
      <c r="A65" t="s">
        <v>22</v>
      </c>
      <c r="B65" t="s">
        <v>1071</v>
      </c>
      <c r="C65">
        <v>2899.87</v>
      </c>
      <c r="D65">
        <v>735.74</v>
      </c>
      <c r="E65">
        <v>2</v>
      </c>
      <c r="F65">
        <v>9</v>
      </c>
    </row>
    <row r="66" spans="1:6" x14ac:dyDescent="0.3">
      <c r="A66" t="s">
        <v>173</v>
      </c>
      <c r="B66" t="s">
        <v>1068</v>
      </c>
      <c r="C66">
        <v>656.88</v>
      </c>
      <c r="D66">
        <v>167.02</v>
      </c>
      <c r="E66">
        <v>1</v>
      </c>
      <c r="F66">
        <v>9</v>
      </c>
    </row>
    <row r="67" spans="1:6" x14ac:dyDescent="0.3">
      <c r="A67" t="s">
        <v>173</v>
      </c>
      <c r="B67" t="s">
        <v>1056</v>
      </c>
      <c r="C67">
        <v>6450.38</v>
      </c>
      <c r="D67">
        <v>1428.65</v>
      </c>
      <c r="E67">
        <v>4</v>
      </c>
      <c r="F67">
        <v>3</v>
      </c>
    </row>
    <row r="68" spans="1:6" x14ac:dyDescent="0.3">
      <c r="A68" t="s">
        <v>173</v>
      </c>
      <c r="B68" t="s">
        <v>1069</v>
      </c>
      <c r="C68">
        <v>2045.91</v>
      </c>
      <c r="D68">
        <v>418.73</v>
      </c>
      <c r="E68">
        <v>3</v>
      </c>
      <c r="F68">
        <v>3</v>
      </c>
    </row>
    <row r="69" spans="1:6" x14ac:dyDescent="0.3">
      <c r="A69" t="s">
        <v>173</v>
      </c>
      <c r="B69" t="s">
        <v>1058</v>
      </c>
      <c r="C69">
        <v>2355.85</v>
      </c>
      <c r="D69">
        <v>356.88</v>
      </c>
      <c r="E69">
        <v>2</v>
      </c>
      <c r="F69">
        <v>1</v>
      </c>
    </row>
    <row r="70" spans="1:6" x14ac:dyDescent="0.3">
      <c r="A70" t="s">
        <v>173</v>
      </c>
      <c r="B70" t="s">
        <v>1059</v>
      </c>
      <c r="C70">
        <v>2376.6799999999998</v>
      </c>
      <c r="D70">
        <v>773.68</v>
      </c>
      <c r="E70">
        <v>3</v>
      </c>
      <c r="F70">
        <v>6</v>
      </c>
    </row>
    <row r="71" spans="1:6" x14ac:dyDescent="0.3">
      <c r="A71" t="s">
        <v>173</v>
      </c>
      <c r="B71" t="s">
        <v>1060</v>
      </c>
      <c r="C71">
        <v>2832.86</v>
      </c>
      <c r="D71">
        <v>661.32999999999993</v>
      </c>
      <c r="E71">
        <v>3</v>
      </c>
      <c r="F71">
        <v>9</v>
      </c>
    </row>
    <row r="72" spans="1:6" x14ac:dyDescent="0.3">
      <c r="A72" t="s">
        <v>173</v>
      </c>
      <c r="B72" t="s">
        <v>1061</v>
      </c>
      <c r="C72">
        <v>935.88</v>
      </c>
      <c r="D72">
        <v>186.51</v>
      </c>
      <c r="E72">
        <v>1</v>
      </c>
      <c r="F72">
        <v>4</v>
      </c>
    </row>
    <row r="73" spans="1:6" x14ac:dyDescent="0.3">
      <c r="A73" t="s">
        <v>173</v>
      </c>
      <c r="B73" t="s">
        <v>1062</v>
      </c>
      <c r="C73">
        <v>1719.38</v>
      </c>
      <c r="D73">
        <v>447.82000000000011</v>
      </c>
      <c r="E73">
        <v>2</v>
      </c>
      <c r="F73">
        <v>1</v>
      </c>
    </row>
    <row r="74" spans="1:6" x14ac:dyDescent="0.3">
      <c r="A74" t="s">
        <v>173</v>
      </c>
      <c r="B74" t="s">
        <v>1063</v>
      </c>
      <c r="C74">
        <v>3220</v>
      </c>
      <c r="D74">
        <v>1219.8900000000001</v>
      </c>
      <c r="E74">
        <v>1</v>
      </c>
      <c r="F74">
        <v>7</v>
      </c>
    </row>
    <row r="75" spans="1:6" x14ac:dyDescent="0.3">
      <c r="A75" t="s">
        <v>173</v>
      </c>
      <c r="B75" t="s">
        <v>1064</v>
      </c>
      <c r="C75">
        <v>1567.87</v>
      </c>
      <c r="D75">
        <v>518.99</v>
      </c>
      <c r="E75">
        <v>3</v>
      </c>
      <c r="F75">
        <v>9</v>
      </c>
    </row>
    <row r="76" spans="1:6" x14ac:dyDescent="0.3">
      <c r="A76" t="s">
        <v>173</v>
      </c>
      <c r="B76" t="s">
        <v>1065</v>
      </c>
      <c r="C76">
        <v>4977.83</v>
      </c>
      <c r="D76">
        <v>1410.15</v>
      </c>
      <c r="E76">
        <v>3</v>
      </c>
      <c r="F76">
        <v>3</v>
      </c>
    </row>
    <row r="77" spans="1:6" x14ac:dyDescent="0.3">
      <c r="A77" t="s">
        <v>173</v>
      </c>
      <c r="B77" t="s">
        <v>1066</v>
      </c>
      <c r="C77">
        <v>5111.88</v>
      </c>
      <c r="D77">
        <v>1879.68</v>
      </c>
      <c r="E77">
        <v>3</v>
      </c>
      <c r="F77">
        <v>6</v>
      </c>
    </row>
    <row r="78" spans="1:6" x14ac:dyDescent="0.3">
      <c r="A78" t="s">
        <v>173</v>
      </c>
      <c r="B78" t="s">
        <v>1067</v>
      </c>
      <c r="C78">
        <v>2766.06</v>
      </c>
      <c r="D78">
        <v>693.37</v>
      </c>
      <c r="E78">
        <v>3</v>
      </c>
      <c r="F78">
        <v>5</v>
      </c>
    </row>
    <row r="79" spans="1:6" x14ac:dyDescent="0.3">
      <c r="A79" t="s">
        <v>43</v>
      </c>
      <c r="B79" t="s">
        <v>1068</v>
      </c>
      <c r="C79">
        <v>843.2</v>
      </c>
      <c r="D79">
        <v>266.39</v>
      </c>
      <c r="E79">
        <v>1</v>
      </c>
      <c r="F79">
        <v>3</v>
      </c>
    </row>
    <row r="80" spans="1:6" x14ac:dyDescent="0.3">
      <c r="A80" t="s">
        <v>43</v>
      </c>
      <c r="B80" t="s">
        <v>1055</v>
      </c>
      <c r="C80">
        <v>1171.42</v>
      </c>
      <c r="D80">
        <v>372.47</v>
      </c>
      <c r="E80">
        <v>1</v>
      </c>
      <c r="F80">
        <v>7</v>
      </c>
    </row>
    <row r="81" spans="1:6" x14ac:dyDescent="0.3">
      <c r="A81" t="s">
        <v>43</v>
      </c>
      <c r="B81" t="s">
        <v>1056</v>
      </c>
      <c r="C81">
        <v>3043.92</v>
      </c>
      <c r="D81">
        <v>836.17000000000007</v>
      </c>
      <c r="E81">
        <v>3</v>
      </c>
      <c r="F81">
        <v>5</v>
      </c>
    </row>
    <row r="82" spans="1:6" x14ac:dyDescent="0.3">
      <c r="A82" t="s">
        <v>43</v>
      </c>
      <c r="B82" t="s">
        <v>1057</v>
      </c>
      <c r="C82">
        <v>1269.94</v>
      </c>
      <c r="D82">
        <v>439</v>
      </c>
      <c r="E82">
        <v>2</v>
      </c>
      <c r="F82">
        <v>5</v>
      </c>
    </row>
    <row r="83" spans="1:6" x14ac:dyDescent="0.3">
      <c r="A83" t="s">
        <v>43</v>
      </c>
      <c r="B83" t="s">
        <v>1069</v>
      </c>
      <c r="C83">
        <v>6434.71</v>
      </c>
      <c r="D83">
        <v>1817.21</v>
      </c>
      <c r="E83">
        <v>7</v>
      </c>
      <c r="F83">
        <v>7</v>
      </c>
    </row>
    <row r="84" spans="1:6" x14ac:dyDescent="0.3">
      <c r="A84" t="s">
        <v>43</v>
      </c>
      <c r="B84" t="s">
        <v>1058</v>
      </c>
      <c r="C84">
        <v>2631.25</v>
      </c>
      <c r="D84">
        <v>942.72</v>
      </c>
      <c r="E84">
        <v>2</v>
      </c>
      <c r="F84">
        <v>4</v>
      </c>
    </row>
    <row r="85" spans="1:6" x14ac:dyDescent="0.3">
      <c r="A85" t="s">
        <v>43</v>
      </c>
      <c r="B85" t="s">
        <v>1059</v>
      </c>
      <c r="C85">
        <v>1201.2</v>
      </c>
      <c r="D85">
        <v>329.23</v>
      </c>
      <c r="E85">
        <v>1</v>
      </c>
      <c r="F85">
        <v>8</v>
      </c>
    </row>
    <row r="86" spans="1:6" x14ac:dyDescent="0.3">
      <c r="A86" t="s">
        <v>43</v>
      </c>
      <c r="B86" t="s">
        <v>1070</v>
      </c>
      <c r="C86">
        <v>7486.09</v>
      </c>
      <c r="D86">
        <v>2363.9299999999998</v>
      </c>
      <c r="E86">
        <v>5</v>
      </c>
      <c r="F86">
        <v>3</v>
      </c>
    </row>
    <row r="87" spans="1:6" x14ac:dyDescent="0.3">
      <c r="A87" t="s">
        <v>43</v>
      </c>
      <c r="B87" t="s">
        <v>1060</v>
      </c>
      <c r="C87">
        <v>1381.76</v>
      </c>
      <c r="D87">
        <v>269.22000000000003</v>
      </c>
      <c r="E87">
        <v>1</v>
      </c>
      <c r="F87">
        <v>6</v>
      </c>
    </row>
    <row r="88" spans="1:6" x14ac:dyDescent="0.3">
      <c r="A88" t="s">
        <v>43</v>
      </c>
      <c r="B88" t="s">
        <v>1061</v>
      </c>
      <c r="C88">
        <v>338.16</v>
      </c>
      <c r="D88">
        <v>134.77000000000001</v>
      </c>
      <c r="E88">
        <v>1</v>
      </c>
      <c r="F88">
        <v>4</v>
      </c>
    </row>
    <row r="89" spans="1:6" x14ac:dyDescent="0.3">
      <c r="A89" t="s">
        <v>43</v>
      </c>
      <c r="B89" t="s">
        <v>1062</v>
      </c>
      <c r="C89">
        <v>3025.92</v>
      </c>
      <c r="D89">
        <v>866.08</v>
      </c>
      <c r="E89">
        <v>3</v>
      </c>
      <c r="F89">
        <v>7</v>
      </c>
    </row>
    <row r="90" spans="1:6" x14ac:dyDescent="0.3">
      <c r="A90" t="s">
        <v>43</v>
      </c>
      <c r="B90" t="s">
        <v>1063</v>
      </c>
      <c r="C90">
        <v>3405.03</v>
      </c>
      <c r="D90">
        <v>884.06</v>
      </c>
      <c r="E90">
        <v>4</v>
      </c>
      <c r="F90">
        <v>7</v>
      </c>
    </row>
    <row r="91" spans="1:6" x14ac:dyDescent="0.3">
      <c r="A91" t="s">
        <v>43</v>
      </c>
      <c r="B91" t="s">
        <v>1064</v>
      </c>
      <c r="C91">
        <v>263.04000000000002</v>
      </c>
      <c r="D91">
        <v>41.4</v>
      </c>
      <c r="E91">
        <v>1</v>
      </c>
      <c r="F91">
        <v>8</v>
      </c>
    </row>
    <row r="92" spans="1:6" x14ac:dyDescent="0.3">
      <c r="A92" t="s">
        <v>43</v>
      </c>
      <c r="B92" t="s">
        <v>1065</v>
      </c>
      <c r="C92">
        <v>168.63</v>
      </c>
      <c r="D92">
        <v>41.07</v>
      </c>
      <c r="E92">
        <v>1</v>
      </c>
      <c r="F92">
        <v>9</v>
      </c>
    </row>
    <row r="93" spans="1:6" x14ac:dyDescent="0.3">
      <c r="A93" t="s">
        <v>43</v>
      </c>
      <c r="B93" t="s">
        <v>1067</v>
      </c>
      <c r="C93">
        <v>1172.08</v>
      </c>
      <c r="D93">
        <v>375.08</v>
      </c>
      <c r="E93">
        <v>1</v>
      </c>
      <c r="F93">
        <v>7</v>
      </c>
    </row>
    <row r="94" spans="1:6" x14ac:dyDescent="0.3">
      <c r="A94" t="s">
        <v>43</v>
      </c>
      <c r="B94" t="s">
        <v>1071</v>
      </c>
      <c r="C94">
        <v>1027.68</v>
      </c>
      <c r="D94">
        <v>357.73</v>
      </c>
      <c r="E94">
        <v>1</v>
      </c>
      <c r="F94">
        <v>1</v>
      </c>
    </row>
  </sheetData>
  <conditionalFormatting sqref="D1:D1048576">
    <cfRule type="top10" dxfId="1" priority="1" rank="10"/>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972E7B-FB8E-405D-9C63-1D73A2BBEDF8}">
  <dimension ref="A1:J94"/>
  <sheetViews>
    <sheetView tabSelected="1" workbookViewId="0">
      <selection activeCell="K18" sqref="K18"/>
    </sheetView>
  </sheetViews>
  <sheetFormatPr defaultRowHeight="14.4" x14ac:dyDescent="0.3"/>
  <sheetData>
    <row r="1" spans="1:10" x14ac:dyDescent="0.3">
      <c r="A1" s="11" t="s">
        <v>13</v>
      </c>
      <c r="B1" s="11" t="s">
        <v>1051</v>
      </c>
      <c r="C1" s="11" t="s">
        <v>8</v>
      </c>
      <c r="D1" s="11" t="s">
        <v>1052</v>
      </c>
      <c r="E1" s="11" t="s">
        <v>1053</v>
      </c>
      <c r="F1" s="11" t="s">
        <v>1054</v>
      </c>
    </row>
    <row r="2" spans="1:10" x14ac:dyDescent="0.3">
      <c r="A2" t="s">
        <v>108</v>
      </c>
      <c r="B2" t="s">
        <v>1055</v>
      </c>
      <c r="C2">
        <v>3778.57</v>
      </c>
      <c r="D2">
        <v>1212.1199999999999</v>
      </c>
      <c r="E2">
        <v>3</v>
      </c>
      <c r="F2">
        <v>5</v>
      </c>
    </row>
    <row r="3" spans="1:10" x14ac:dyDescent="0.3">
      <c r="A3" t="s">
        <v>108</v>
      </c>
      <c r="B3" t="s">
        <v>1056</v>
      </c>
      <c r="C3">
        <v>3519.18</v>
      </c>
      <c r="D3">
        <v>910.68</v>
      </c>
      <c r="E3">
        <v>2</v>
      </c>
      <c r="F3">
        <v>3</v>
      </c>
    </row>
    <row r="4" spans="1:10" x14ac:dyDescent="0.3">
      <c r="A4" t="s">
        <v>108</v>
      </c>
      <c r="B4" t="s">
        <v>1057</v>
      </c>
      <c r="C4">
        <v>1765.51</v>
      </c>
      <c r="D4">
        <v>530.96</v>
      </c>
      <c r="E4">
        <v>2</v>
      </c>
      <c r="F4">
        <v>4</v>
      </c>
    </row>
    <row r="5" spans="1:10" x14ac:dyDescent="0.3">
      <c r="A5" t="s">
        <v>108</v>
      </c>
      <c r="B5" t="s">
        <v>1058</v>
      </c>
      <c r="C5">
        <v>4768.72</v>
      </c>
      <c r="D5">
        <v>1717.12</v>
      </c>
      <c r="E5">
        <v>3</v>
      </c>
      <c r="F5">
        <v>7</v>
      </c>
    </row>
    <row r="6" spans="1:10" x14ac:dyDescent="0.3">
      <c r="A6" t="s">
        <v>108</v>
      </c>
      <c r="B6" t="s">
        <v>1059</v>
      </c>
      <c r="C6">
        <v>751.14</v>
      </c>
      <c r="D6">
        <v>168.93</v>
      </c>
      <c r="E6">
        <v>4</v>
      </c>
      <c r="F6">
        <v>8</v>
      </c>
      <c r="J6" t="s">
        <v>1090</v>
      </c>
    </row>
    <row r="7" spans="1:10" x14ac:dyDescent="0.3">
      <c r="A7" t="s">
        <v>108</v>
      </c>
      <c r="B7" t="s">
        <v>1060</v>
      </c>
      <c r="C7">
        <v>2704.41</v>
      </c>
      <c r="D7">
        <v>772.61</v>
      </c>
      <c r="E7">
        <v>3</v>
      </c>
      <c r="F7">
        <v>5</v>
      </c>
    </row>
    <row r="8" spans="1:10" x14ac:dyDescent="0.3">
      <c r="A8" t="s">
        <v>108</v>
      </c>
      <c r="B8" t="s">
        <v>1061</v>
      </c>
      <c r="C8">
        <v>908.84</v>
      </c>
      <c r="D8">
        <v>264.43</v>
      </c>
      <c r="E8">
        <v>2</v>
      </c>
      <c r="F8">
        <v>6</v>
      </c>
      <c r="J8" t="s">
        <v>1091</v>
      </c>
    </row>
    <row r="9" spans="1:10" x14ac:dyDescent="0.3">
      <c r="A9" t="s">
        <v>108</v>
      </c>
      <c r="B9" t="s">
        <v>1062</v>
      </c>
      <c r="C9">
        <v>794.82</v>
      </c>
      <c r="D9">
        <v>255.37</v>
      </c>
      <c r="E9">
        <v>1</v>
      </c>
      <c r="F9">
        <v>7</v>
      </c>
    </row>
    <row r="10" spans="1:10" x14ac:dyDescent="0.3">
      <c r="A10" t="s">
        <v>108</v>
      </c>
      <c r="B10" t="s">
        <v>1063</v>
      </c>
      <c r="C10">
        <v>1882.75</v>
      </c>
      <c r="D10">
        <v>346.8</v>
      </c>
      <c r="E10">
        <v>4</v>
      </c>
      <c r="F10">
        <v>3</v>
      </c>
    </row>
    <row r="11" spans="1:10" x14ac:dyDescent="0.3">
      <c r="A11" t="s">
        <v>108</v>
      </c>
      <c r="B11" t="s">
        <v>1064</v>
      </c>
      <c r="C11">
        <v>3269.37</v>
      </c>
      <c r="D11">
        <v>1085.4100000000001</v>
      </c>
      <c r="E11">
        <v>2</v>
      </c>
      <c r="F11">
        <v>2</v>
      </c>
    </row>
    <row r="12" spans="1:10" x14ac:dyDescent="0.3">
      <c r="A12" t="s">
        <v>108</v>
      </c>
      <c r="B12" t="s">
        <v>1065</v>
      </c>
      <c r="C12">
        <v>412.62</v>
      </c>
      <c r="D12">
        <v>155.44</v>
      </c>
      <c r="E12">
        <v>1</v>
      </c>
      <c r="F12">
        <v>8</v>
      </c>
    </row>
    <row r="13" spans="1:10" x14ac:dyDescent="0.3">
      <c r="A13" t="s">
        <v>108</v>
      </c>
      <c r="B13" t="s">
        <v>1066</v>
      </c>
      <c r="C13">
        <v>2964.8</v>
      </c>
      <c r="D13">
        <v>920.04</v>
      </c>
      <c r="E13">
        <v>4</v>
      </c>
      <c r="F13">
        <v>4</v>
      </c>
    </row>
    <row r="14" spans="1:10" x14ac:dyDescent="0.3">
      <c r="A14" t="s">
        <v>108</v>
      </c>
      <c r="B14" t="s">
        <v>1067</v>
      </c>
      <c r="C14">
        <v>1974.31</v>
      </c>
      <c r="D14">
        <v>627.41</v>
      </c>
      <c r="E14">
        <v>2</v>
      </c>
      <c r="F14">
        <v>9</v>
      </c>
    </row>
    <row r="15" spans="1:10" x14ac:dyDescent="0.3">
      <c r="A15" t="s">
        <v>66</v>
      </c>
      <c r="B15" t="s">
        <v>1068</v>
      </c>
      <c r="C15">
        <v>12118.86</v>
      </c>
      <c r="D15">
        <v>2799.31</v>
      </c>
      <c r="E15">
        <v>11</v>
      </c>
      <c r="F15">
        <v>5</v>
      </c>
    </row>
    <row r="16" spans="1:10" x14ac:dyDescent="0.3">
      <c r="A16" t="s">
        <v>66</v>
      </c>
      <c r="B16" t="s">
        <v>1055</v>
      </c>
      <c r="C16">
        <v>8766.07</v>
      </c>
      <c r="D16">
        <v>2416.6</v>
      </c>
      <c r="E16">
        <v>9</v>
      </c>
      <c r="F16">
        <v>6</v>
      </c>
    </row>
    <row r="17" spans="1:6" x14ac:dyDescent="0.3">
      <c r="A17" t="s">
        <v>66</v>
      </c>
      <c r="B17" t="s">
        <v>1056</v>
      </c>
      <c r="C17">
        <v>7955.66</v>
      </c>
      <c r="D17">
        <v>2329.09</v>
      </c>
      <c r="E17">
        <v>9</v>
      </c>
      <c r="F17">
        <v>1</v>
      </c>
    </row>
    <row r="18" spans="1:6" x14ac:dyDescent="0.3">
      <c r="A18" t="s">
        <v>66</v>
      </c>
      <c r="B18" t="s">
        <v>1057</v>
      </c>
      <c r="C18">
        <v>5871.72</v>
      </c>
      <c r="D18">
        <v>1889.51</v>
      </c>
      <c r="E18">
        <v>6</v>
      </c>
      <c r="F18">
        <v>1</v>
      </c>
    </row>
    <row r="19" spans="1:6" x14ac:dyDescent="0.3">
      <c r="A19" t="s">
        <v>66</v>
      </c>
      <c r="B19" t="s">
        <v>1069</v>
      </c>
      <c r="C19">
        <v>5008.9399999999996</v>
      </c>
      <c r="D19">
        <v>1129.83</v>
      </c>
      <c r="E19">
        <v>7</v>
      </c>
      <c r="F19">
        <v>8</v>
      </c>
    </row>
    <row r="20" spans="1:6" x14ac:dyDescent="0.3">
      <c r="A20" t="s">
        <v>66</v>
      </c>
      <c r="B20" t="s">
        <v>1058</v>
      </c>
      <c r="C20">
        <v>8767.11</v>
      </c>
      <c r="D20">
        <v>2622.31</v>
      </c>
      <c r="E20">
        <v>7</v>
      </c>
      <c r="F20">
        <v>3</v>
      </c>
    </row>
    <row r="21" spans="1:6" x14ac:dyDescent="0.3">
      <c r="A21" t="s">
        <v>66</v>
      </c>
      <c r="B21" t="s">
        <v>1059</v>
      </c>
      <c r="C21">
        <v>13074.39</v>
      </c>
      <c r="D21">
        <v>3550.23</v>
      </c>
      <c r="E21">
        <v>11</v>
      </c>
      <c r="F21">
        <v>2</v>
      </c>
    </row>
    <row r="22" spans="1:6" x14ac:dyDescent="0.3">
      <c r="A22" t="s">
        <v>66</v>
      </c>
      <c r="B22" t="s">
        <v>1070</v>
      </c>
      <c r="C22">
        <v>12111.05</v>
      </c>
      <c r="D22">
        <v>3346.91</v>
      </c>
      <c r="E22">
        <v>11</v>
      </c>
      <c r="F22">
        <v>1</v>
      </c>
    </row>
    <row r="23" spans="1:6" x14ac:dyDescent="0.3">
      <c r="A23" t="s">
        <v>66</v>
      </c>
      <c r="B23" t="s">
        <v>1060</v>
      </c>
      <c r="C23">
        <v>14892.08</v>
      </c>
      <c r="D23">
        <v>4197.32</v>
      </c>
      <c r="E23">
        <v>19</v>
      </c>
      <c r="F23">
        <v>1</v>
      </c>
    </row>
    <row r="24" spans="1:6" x14ac:dyDescent="0.3">
      <c r="A24" t="s">
        <v>66</v>
      </c>
      <c r="B24" t="s">
        <v>1061</v>
      </c>
      <c r="C24">
        <v>8946.65</v>
      </c>
      <c r="D24">
        <v>3064.47</v>
      </c>
      <c r="E24">
        <v>9</v>
      </c>
      <c r="F24">
        <v>9</v>
      </c>
    </row>
    <row r="25" spans="1:6" x14ac:dyDescent="0.3">
      <c r="A25" t="s">
        <v>66</v>
      </c>
      <c r="B25" t="s">
        <v>1062</v>
      </c>
      <c r="C25">
        <v>13730.81</v>
      </c>
      <c r="D25">
        <v>3430.89</v>
      </c>
      <c r="E25">
        <v>13</v>
      </c>
      <c r="F25">
        <v>8</v>
      </c>
    </row>
    <row r="26" spans="1:6" x14ac:dyDescent="0.3">
      <c r="A26" t="s">
        <v>66</v>
      </c>
      <c r="B26" t="s">
        <v>1063</v>
      </c>
      <c r="C26">
        <v>11679.03</v>
      </c>
      <c r="D26">
        <v>3081.7</v>
      </c>
      <c r="E26">
        <v>11</v>
      </c>
      <c r="F26">
        <v>3</v>
      </c>
    </row>
    <row r="27" spans="1:6" x14ac:dyDescent="0.3">
      <c r="A27" t="s">
        <v>66</v>
      </c>
      <c r="B27" t="s">
        <v>1064</v>
      </c>
      <c r="C27">
        <v>9897.75</v>
      </c>
      <c r="D27">
        <v>2652.22</v>
      </c>
      <c r="E27">
        <v>14</v>
      </c>
      <c r="F27">
        <v>5</v>
      </c>
    </row>
    <row r="28" spans="1:6" x14ac:dyDescent="0.3">
      <c r="A28" t="s">
        <v>66</v>
      </c>
      <c r="B28" t="s">
        <v>1065</v>
      </c>
      <c r="C28">
        <v>5404.6900000000014</v>
      </c>
      <c r="D28">
        <v>1469.09</v>
      </c>
      <c r="E28">
        <v>8</v>
      </c>
      <c r="F28">
        <v>3</v>
      </c>
    </row>
    <row r="29" spans="1:6" x14ac:dyDescent="0.3">
      <c r="A29" t="s">
        <v>66</v>
      </c>
      <c r="B29" t="s">
        <v>1066</v>
      </c>
      <c r="C29">
        <v>11784.96</v>
      </c>
      <c r="D29">
        <v>3759.57</v>
      </c>
      <c r="E29">
        <v>9</v>
      </c>
      <c r="F29">
        <v>5</v>
      </c>
    </row>
    <row r="30" spans="1:6" x14ac:dyDescent="0.3">
      <c r="A30" t="s">
        <v>66</v>
      </c>
      <c r="B30" t="s">
        <v>1067</v>
      </c>
      <c r="C30">
        <v>16779.43</v>
      </c>
      <c r="D30">
        <v>5047.63</v>
      </c>
      <c r="E30">
        <v>17</v>
      </c>
      <c r="F30">
        <v>8</v>
      </c>
    </row>
    <row r="31" spans="1:6" x14ac:dyDescent="0.3">
      <c r="A31" t="s">
        <v>66</v>
      </c>
      <c r="B31" t="s">
        <v>1071</v>
      </c>
      <c r="C31">
        <v>4379.2</v>
      </c>
      <c r="D31">
        <v>1129.18</v>
      </c>
      <c r="E31">
        <v>8</v>
      </c>
      <c r="F31">
        <v>1</v>
      </c>
    </row>
    <row r="32" spans="1:6" x14ac:dyDescent="0.3">
      <c r="A32" t="s">
        <v>30</v>
      </c>
      <c r="B32" t="s">
        <v>1068</v>
      </c>
      <c r="C32">
        <v>5963.8</v>
      </c>
      <c r="D32">
        <v>1573.73</v>
      </c>
      <c r="E32">
        <v>5</v>
      </c>
      <c r="F32">
        <v>5</v>
      </c>
    </row>
    <row r="33" spans="1:6" x14ac:dyDescent="0.3">
      <c r="A33" t="s">
        <v>30</v>
      </c>
      <c r="B33" t="s">
        <v>1055</v>
      </c>
      <c r="C33">
        <v>10805.59</v>
      </c>
      <c r="D33">
        <v>3570.55</v>
      </c>
      <c r="E33">
        <v>11</v>
      </c>
      <c r="F33">
        <v>1</v>
      </c>
    </row>
    <row r="34" spans="1:6" x14ac:dyDescent="0.3">
      <c r="A34" t="s">
        <v>30</v>
      </c>
      <c r="B34" t="s">
        <v>1056</v>
      </c>
      <c r="C34">
        <v>5417.25</v>
      </c>
      <c r="D34">
        <v>1555.47</v>
      </c>
      <c r="E34">
        <v>5</v>
      </c>
      <c r="F34">
        <v>7</v>
      </c>
    </row>
    <row r="35" spans="1:6" x14ac:dyDescent="0.3">
      <c r="A35" t="s">
        <v>30</v>
      </c>
      <c r="B35" t="s">
        <v>1057</v>
      </c>
      <c r="C35">
        <v>3447.44</v>
      </c>
      <c r="D35">
        <v>997.16000000000008</v>
      </c>
      <c r="E35">
        <v>5</v>
      </c>
      <c r="F35">
        <v>8</v>
      </c>
    </row>
    <row r="36" spans="1:6" x14ac:dyDescent="0.3">
      <c r="A36" t="s">
        <v>30</v>
      </c>
      <c r="B36" t="s">
        <v>1069</v>
      </c>
      <c r="C36">
        <v>2680.99</v>
      </c>
      <c r="D36">
        <v>567.59</v>
      </c>
      <c r="E36">
        <v>4</v>
      </c>
      <c r="F36">
        <v>1</v>
      </c>
    </row>
    <row r="37" spans="1:6" x14ac:dyDescent="0.3">
      <c r="A37" t="s">
        <v>30</v>
      </c>
      <c r="B37" t="s">
        <v>1058</v>
      </c>
      <c r="C37">
        <v>15432.12</v>
      </c>
      <c r="D37">
        <v>4593.17</v>
      </c>
      <c r="E37">
        <v>16</v>
      </c>
      <c r="F37">
        <v>1</v>
      </c>
    </row>
    <row r="38" spans="1:6" x14ac:dyDescent="0.3">
      <c r="A38" t="s">
        <v>30</v>
      </c>
      <c r="B38" t="s">
        <v>1059</v>
      </c>
      <c r="C38">
        <v>10623.02</v>
      </c>
      <c r="D38">
        <v>3155.49</v>
      </c>
      <c r="E38">
        <v>15</v>
      </c>
      <c r="F38">
        <v>8</v>
      </c>
    </row>
    <row r="39" spans="1:6" x14ac:dyDescent="0.3">
      <c r="A39" t="s">
        <v>30</v>
      </c>
      <c r="B39" t="s">
        <v>1070</v>
      </c>
      <c r="C39">
        <v>6538.51</v>
      </c>
      <c r="D39">
        <v>1686.63</v>
      </c>
      <c r="E39">
        <v>10</v>
      </c>
      <c r="F39">
        <v>1</v>
      </c>
    </row>
    <row r="40" spans="1:6" x14ac:dyDescent="0.3">
      <c r="A40" t="s">
        <v>30</v>
      </c>
      <c r="B40" t="s">
        <v>1060</v>
      </c>
      <c r="C40">
        <v>4338.0200000000004</v>
      </c>
      <c r="D40">
        <v>941.58999999999992</v>
      </c>
      <c r="E40">
        <v>5</v>
      </c>
      <c r="F40">
        <v>6</v>
      </c>
    </row>
    <row r="41" spans="1:6" x14ac:dyDescent="0.3">
      <c r="A41" t="s">
        <v>30</v>
      </c>
      <c r="B41" t="s">
        <v>1061</v>
      </c>
      <c r="C41">
        <v>6894.59</v>
      </c>
      <c r="D41">
        <v>2046.19</v>
      </c>
      <c r="E41">
        <v>11</v>
      </c>
      <c r="F41">
        <v>2</v>
      </c>
    </row>
    <row r="42" spans="1:6" x14ac:dyDescent="0.3">
      <c r="A42" t="s">
        <v>30</v>
      </c>
      <c r="B42" t="s">
        <v>1062</v>
      </c>
      <c r="C42">
        <v>6006.6500000000005</v>
      </c>
      <c r="D42">
        <v>1368.08</v>
      </c>
      <c r="E42">
        <v>7</v>
      </c>
      <c r="F42">
        <v>6</v>
      </c>
    </row>
    <row r="43" spans="1:6" x14ac:dyDescent="0.3">
      <c r="A43" t="s">
        <v>30</v>
      </c>
      <c r="B43" t="s">
        <v>1063</v>
      </c>
      <c r="C43">
        <v>5718.61</v>
      </c>
      <c r="D43">
        <v>1342.18</v>
      </c>
      <c r="E43">
        <v>7</v>
      </c>
      <c r="F43">
        <v>6</v>
      </c>
    </row>
    <row r="44" spans="1:6" x14ac:dyDescent="0.3">
      <c r="A44" t="s">
        <v>30</v>
      </c>
      <c r="B44" t="s">
        <v>1064</v>
      </c>
      <c r="C44">
        <v>8016.39</v>
      </c>
      <c r="D44">
        <v>2485.71</v>
      </c>
      <c r="E44">
        <v>8</v>
      </c>
      <c r="F44">
        <v>9</v>
      </c>
    </row>
    <row r="45" spans="1:6" x14ac:dyDescent="0.3">
      <c r="A45" t="s">
        <v>30</v>
      </c>
      <c r="B45" t="s">
        <v>1065</v>
      </c>
      <c r="C45">
        <v>5431.37</v>
      </c>
      <c r="D45">
        <v>1032.25</v>
      </c>
      <c r="E45">
        <v>5</v>
      </c>
      <c r="F45">
        <v>3</v>
      </c>
    </row>
    <row r="46" spans="1:6" x14ac:dyDescent="0.3">
      <c r="A46" t="s">
        <v>30</v>
      </c>
      <c r="B46" t="s">
        <v>1066</v>
      </c>
      <c r="C46">
        <v>9021.380000000001</v>
      </c>
      <c r="D46">
        <v>3026.61</v>
      </c>
      <c r="E46">
        <v>7</v>
      </c>
      <c r="F46">
        <v>5</v>
      </c>
    </row>
    <row r="47" spans="1:6" x14ac:dyDescent="0.3">
      <c r="A47" t="s">
        <v>30</v>
      </c>
      <c r="B47" t="s">
        <v>1067</v>
      </c>
      <c r="C47">
        <v>7453.18</v>
      </c>
      <c r="D47">
        <v>1835.78</v>
      </c>
      <c r="E47">
        <v>8</v>
      </c>
      <c r="F47">
        <v>6</v>
      </c>
    </row>
    <row r="48" spans="1:6" x14ac:dyDescent="0.3">
      <c r="A48" t="s">
        <v>30</v>
      </c>
      <c r="B48" t="s">
        <v>1071</v>
      </c>
      <c r="C48">
        <v>1425.71</v>
      </c>
      <c r="D48">
        <v>356.57</v>
      </c>
      <c r="E48">
        <v>5</v>
      </c>
      <c r="F48">
        <v>5</v>
      </c>
    </row>
    <row r="49" spans="1:6" x14ac:dyDescent="0.3">
      <c r="A49" t="s">
        <v>22</v>
      </c>
      <c r="B49" t="s">
        <v>1068</v>
      </c>
      <c r="C49">
        <v>4059.57</v>
      </c>
      <c r="D49">
        <v>1247.83</v>
      </c>
      <c r="E49">
        <v>5</v>
      </c>
      <c r="F49">
        <v>1</v>
      </c>
    </row>
    <row r="50" spans="1:6" x14ac:dyDescent="0.3">
      <c r="A50" t="s">
        <v>22</v>
      </c>
      <c r="B50" t="s">
        <v>1055</v>
      </c>
      <c r="C50">
        <v>5390.3499999999995</v>
      </c>
      <c r="D50">
        <v>1662.29</v>
      </c>
      <c r="E50">
        <v>5</v>
      </c>
      <c r="F50">
        <v>5</v>
      </c>
    </row>
    <row r="51" spans="1:6" x14ac:dyDescent="0.3">
      <c r="A51" t="s">
        <v>22</v>
      </c>
      <c r="B51" t="s">
        <v>1056</v>
      </c>
      <c r="C51">
        <v>1064.19</v>
      </c>
      <c r="D51">
        <v>388.91</v>
      </c>
      <c r="E51">
        <v>3</v>
      </c>
      <c r="F51">
        <v>1</v>
      </c>
    </row>
    <row r="52" spans="1:6" x14ac:dyDescent="0.3">
      <c r="A52" t="s">
        <v>22</v>
      </c>
      <c r="B52" t="s">
        <v>1057</v>
      </c>
      <c r="C52">
        <v>1721.74</v>
      </c>
      <c r="D52">
        <v>465.98</v>
      </c>
      <c r="E52">
        <v>3</v>
      </c>
      <c r="F52">
        <v>5</v>
      </c>
    </row>
    <row r="53" spans="1:6" x14ac:dyDescent="0.3">
      <c r="A53" t="s">
        <v>22</v>
      </c>
      <c r="B53" t="s">
        <v>1069</v>
      </c>
      <c r="C53">
        <v>8874.1</v>
      </c>
      <c r="D53">
        <v>2315.96</v>
      </c>
      <c r="E53">
        <v>8</v>
      </c>
      <c r="F53">
        <v>3</v>
      </c>
    </row>
    <row r="54" spans="1:6" x14ac:dyDescent="0.3">
      <c r="A54" t="s">
        <v>22</v>
      </c>
      <c r="B54" t="s">
        <v>1058</v>
      </c>
      <c r="C54">
        <v>4737.55</v>
      </c>
      <c r="D54">
        <v>1543.71</v>
      </c>
      <c r="E54">
        <v>4</v>
      </c>
      <c r="F54">
        <v>1</v>
      </c>
    </row>
    <row r="55" spans="1:6" x14ac:dyDescent="0.3">
      <c r="A55" t="s">
        <v>22</v>
      </c>
      <c r="B55" t="s">
        <v>1059</v>
      </c>
      <c r="C55">
        <v>2262.48</v>
      </c>
      <c r="D55">
        <v>463.63</v>
      </c>
      <c r="E55">
        <v>2</v>
      </c>
      <c r="F55">
        <v>1</v>
      </c>
    </row>
    <row r="56" spans="1:6" x14ac:dyDescent="0.3">
      <c r="A56" t="s">
        <v>22</v>
      </c>
      <c r="B56" t="s">
        <v>1070</v>
      </c>
      <c r="C56">
        <v>2443.42</v>
      </c>
      <c r="D56">
        <v>578.91999999999996</v>
      </c>
      <c r="E56">
        <v>2</v>
      </c>
      <c r="F56">
        <v>7</v>
      </c>
    </row>
    <row r="57" spans="1:6" x14ac:dyDescent="0.3">
      <c r="A57" t="s">
        <v>22</v>
      </c>
      <c r="B57" t="s">
        <v>1060</v>
      </c>
      <c r="C57">
        <v>5589.5999999999995</v>
      </c>
      <c r="D57">
        <v>1545.11</v>
      </c>
      <c r="E57">
        <v>7</v>
      </c>
      <c r="F57">
        <v>1</v>
      </c>
    </row>
    <row r="58" spans="1:6" x14ac:dyDescent="0.3">
      <c r="A58" t="s">
        <v>22</v>
      </c>
      <c r="B58" t="s">
        <v>1061</v>
      </c>
      <c r="C58">
        <v>7347.76</v>
      </c>
      <c r="D58">
        <v>1856.14</v>
      </c>
      <c r="E58">
        <v>7</v>
      </c>
      <c r="F58">
        <v>2</v>
      </c>
    </row>
    <row r="59" spans="1:6" x14ac:dyDescent="0.3">
      <c r="A59" t="s">
        <v>22</v>
      </c>
      <c r="B59" t="s">
        <v>1062</v>
      </c>
      <c r="C59">
        <v>6488.83</v>
      </c>
      <c r="D59">
        <v>1394.89</v>
      </c>
      <c r="E59">
        <v>5</v>
      </c>
      <c r="F59">
        <v>5</v>
      </c>
    </row>
    <row r="60" spans="1:6" x14ac:dyDescent="0.3">
      <c r="A60" t="s">
        <v>22</v>
      </c>
      <c r="B60" t="s">
        <v>1063</v>
      </c>
      <c r="C60">
        <v>13213.87</v>
      </c>
      <c r="D60">
        <v>3606.27</v>
      </c>
      <c r="E60">
        <v>12</v>
      </c>
      <c r="F60">
        <v>7</v>
      </c>
    </row>
    <row r="61" spans="1:6" x14ac:dyDescent="0.3">
      <c r="A61" t="s">
        <v>22</v>
      </c>
      <c r="B61" t="s">
        <v>1064</v>
      </c>
      <c r="C61">
        <v>2048.6</v>
      </c>
      <c r="D61">
        <v>626.04999999999995</v>
      </c>
      <c r="E61">
        <v>3</v>
      </c>
      <c r="F61">
        <v>1</v>
      </c>
    </row>
    <row r="62" spans="1:6" x14ac:dyDescent="0.3">
      <c r="A62" t="s">
        <v>22</v>
      </c>
      <c r="B62" t="s">
        <v>1065</v>
      </c>
      <c r="C62">
        <v>9137.09</v>
      </c>
      <c r="D62">
        <v>3200.92</v>
      </c>
      <c r="E62">
        <v>8</v>
      </c>
      <c r="F62">
        <v>7</v>
      </c>
    </row>
    <row r="63" spans="1:6" x14ac:dyDescent="0.3">
      <c r="A63" t="s">
        <v>22</v>
      </c>
      <c r="B63" t="s">
        <v>1066</v>
      </c>
      <c r="C63">
        <v>3271.86</v>
      </c>
      <c r="D63">
        <v>762.28</v>
      </c>
      <c r="E63">
        <v>4</v>
      </c>
      <c r="F63">
        <v>7</v>
      </c>
    </row>
    <row r="64" spans="1:6" x14ac:dyDescent="0.3">
      <c r="A64" t="s">
        <v>22</v>
      </c>
      <c r="B64" t="s">
        <v>1067</v>
      </c>
      <c r="C64">
        <v>6394.1900000000014</v>
      </c>
      <c r="D64">
        <v>1658.61</v>
      </c>
      <c r="E64">
        <v>7</v>
      </c>
      <c r="F64">
        <v>4</v>
      </c>
    </row>
    <row r="65" spans="1:6" x14ac:dyDescent="0.3">
      <c r="A65" t="s">
        <v>22</v>
      </c>
      <c r="B65" t="s">
        <v>1071</v>
      </c>
      <c r="C65">
        <v>2899.87</v>
      </c>
      <c r="D65">
        <v>735.74</v>
      </c>
      <c r="E65">
        <v>2</v>
      </c>
      <c r="F65">
        <v>9</v>
      </c>
    </row>
    <row r="66" spans="1:6" x14ac:dyDescent="0.3">
      <c r="A66" t="s">
        <v>173</v>
      </c>
      <c r="B66" t="s">
        <v>1068</v>
      </c>
      <c r="C66">
        <v>656.88</v>
      </c>
      <c r="D66">
        <v>167.02</v>
      </c>
      <c r="E66">
        <v>1</v>
      </c>
      <c r="F66">
        <v>9</v>
      </c>
    </row>
    <row r="67" spans="1:6" x14ac:dyDescent="0.3">
      <c r="A67" t="s">
        <v>173</v>
      </c>
      <c r="B67" t="s">
        <v>1056</v>
      </c>
      <c r="C67">
        <v>6450.38</v>
      </c>
      <c r="D67">
        <v>1428.65</v>
      </c>
      <c r="E67">
        <v>4</v>
      </c>
      <c r="F67">
        <v>3</v>
      </c>
    </row>
    <row r="68" spans="1:6" x14ac:dyDescent="0.3">
      <c r="A68" t="s">
        <v>173</v>
      </c>
      <c r="B68" t="s">
        <v>1069</v>
      </c>
      <c r="C68">
        <v>2045.91</v>
      </c>
      <c r="D68">
        <v>418.73</v>
      </c>
      <c r="E68">
        <v>3</v>
      </c>
      <c r="F68">
        <v>3</v>
      </c>
    </row>
    <row r="69" spans="1:6" x14ac:dyDescent="0.3">
      <c r="A69" t="s">
        <v>173</v>
      </c>
      <c r="B69" t="s">
        <v>1058</v>
      </c>
      <c r="C69">
        <v>2355.85</v>
      </c>
      <c r="D69">
        <v>356.88</v>
      </c>
      <c r="E69">
        <v>2</v>
      </c>
      <c r="F69">
        <v>1</v>
      </c>
    </row>
    <row r="70" spans="1:6" x14ac:dyDescent="0.3">
      <c r="A70" t="s">
        <v>173</v>
      </c>
      <c r="B70" t="s">
        <v>1059</v>
      </c>
      <c r="C70">
        <v>2376.6799999999998</v>
      </c>
      <c r="D70">
        <v>773.68</v>
      </c>
      <c r="E70">
        <v>3</v>
      </c>
      <c r="F70">
        <v>6</v>
      </c>
    </row>
    <row r="71" spans="1:6" x14ac:dyDescent="0.3">
      <c r="A71" t="s">
        <v>173</v>
      </c>
      <c r="B71" t="s">
        <v>1060</v>
      </c>
      <c r="C71">
        <v>2832.86</v>
      </c>
      <c r="D71">
        <v>661.32999999999993</v>
      </c>
      <c r="E71">
        <v>3</v>
      </c>
      <c r="F71">
        <v>9</v>
      </c>
    </row>
    <row r="72" spans="1:6" x14ac:dyDescent="0.3">
      <c r="A72" t="s">
        <v>173</v>
      </c>
      <c r="B72" t="s">
        <v>1061</v>
      </c>
      <c r="C72">
        <v>935.88</v>
      </c>
      <c r="D72">
        <v>186.51</v>
      </c>
      <c r="E72">
        <v>1</v>
      </c>
      <c r="F72">
        <v>4</v>
      </c>
    </row>
    <row r="73" spans="1:6" x14ac:dyDescent="0.3">
      <c r="A73" t="s">
        <v>173</v>
      </c>
      <c r="B73" t="s">
        <v>1062</v>
      </c>
      <c r="C73">
        <v>1719.38</v>
      </c>
      <c r="D73">
        <v>447.82000000000011</v>
      </c>
      <c r="E73">
        <v>2</v>
      </c>
      <c r="F73">
        <v>1</v>
      </c>
    </row>
    <row r="74" spans="1:6" x14ac:dyDescent="0.3">
      <c r="A74" t="s">
        <v>173</v>
      </c>
      <c r="B74" t="s">
        <v>1063</v>
      </c>
      <c r="C74">
        <v>3220</v>
      </c>
      <c r="D74">
        <v>1219.8900000000001</v>
      </c>
      <c r="E74">
        <v>1</v>
      </c>
      <c r="F74">
        <v>7</v>
      </c>
    </row>
    <row r="75" spans="1:6" x14ac:dyDescent="0.3">
      <c r="A75" t="s">
        <v>173</v>
      </c>
      <c r="B75" t="s">
        <v>1064</v>
      </c>
      <c r="C75">
        <v>1567.87</v>
      </c>
      <c r="D75">
        <v>518.99</v>
      </c>
      <c r="E75">
        <v>3</v>
      </c>
      <c r="F75">
        <v>9</v>
      </c>
    </row>
    <row r="76" spans="1:6" x14ac:dyDescent="0.3">
      <c r="A76" t="s">
        <v>173</v>
      </c>
      <c r="B76" t="s">
        <v>1065</v>
      </c>
      <c r="C76">
        <v>4977.83</v>
      </c>
      <c r="D76">
        <v>1410.15</v>
      </c>
      <c r="E76">
        <v>3</v>
      </c>
      <c r="F76">
        <v>3</v>
      </c>
    </row>
    <row r="77" spans="1:6" x14ac:dyDescent="0.3">
      <c r="A77" t="s">
        <v>173</v>
      </c>
      <c r="B77" t="s">
        <v>1066</v>
      </c>
      <c r="C77">
        <v>5111.88</v>
      </c>
      <c r="D77">
        <v>1879.68</v>
      </c>
      <c r="E77">
        <v>3</v>
      </c>
      <c r="F77">
        <v>6</v>
      </c>
    </row>
    <row r="78" spans="1:6" x14ac:dyDescent="0.3">
      <c r="A78" t="s">
        <v>173</v>
      </c>
      <c r="B78" t="s">
        <v>1067</v>
      </c>
      <c r="C78">
        <v>2766.06</v>
      </c>
      <c r="D78">
        <v>693.37</v>
      </c>
      <c r="E78">
        <v>3</v>
      </c>
      <c r="F78">
        <v>5</v>
      </c>
    </row>
    <row r="79" spans="1:6" x14ac:dyDescent="0.3">
      <c r="A79" t="s">
        <v>43</v>
      </c>
      <c r="B79" t="s">
        <v>1068</v>
      </c>
      <c r="C79">
        <v>843.2</v>
      </c>
      <c r="D79">
        <v>266.39</v>
      </c>
      <c r="E79">
        <v>1</v>
      </c>
      <c r="F79">
        <v>3</v>
      </c>
    </row>
    <row r="80" spans="1:6" x14ac:dyDescent="0.3">
      <c r="A80" t="s">
        <v>43</v>
      </c>
      <c r="B80" t="s">
        <v>1055</v>
      </c>
      <c r="C80">
        <v>1171.42</v>
      </c>
      <c r="D80">
        <v>372.47</v>
      </c>
      <c r="E80">
        <v>1</v>
      </c>
      <c r="F80">
        <v>7</v>
      </c>
    </row>
    <row r="81" spans="1:6" x14ac:dyDescent="0.3">
      <c r="A81" t="s">
        <v>43</v>
      </c>
      <c r="B81" t="s">
        <v>1056</v>
      </c>
      <c r="C81">
        <v>3043.92</v>
      </c>
      <c r="D81">
        <v>836.17000000000007</v>
      </c>
      <c r="E81">
        <v>3</v>
      </c>
      <c r="F81">
        <v>5</v>
      </c>
    </row>
    <row r="82" spans="1:6" x14ac:dyDescent="0.3">
      <c r="A82" t="s">
        <v>43</v>
      </c>
      <c r="B82" t="s">
        <v>1057</v>
      </c>
      <c r="C82">
        <v>1269.94</v>
      </c>
      <c r="D82">
        <v>439</v>
      </c>
      <c r="E82">
        <v>2</v>
      </c>
      <c r="F82">
        <v>5</v>
      </c>
    </row>
    <row r="83" spans="1:6" x14ac:dyDescent="0.3">
      <c r="A83" t="s">
        <v>43</v>
      </c>
      <c r="B83" t="s">
        <v>1069</v>
      </c>
      <c r="C83">
        <v>6434.71</v>
      </c>
      <c r="D83">
        <v>1817.21</v>
      </c>
      <c r="E83">
        <v>7</v>
      </c>
      <c r="F83">
        <v>7</v>
      </c>
    </row>
    <row r="84" spans="1:6" x14ac:dyDescent="0.3">
      <c r="A84" t="s">
        <v>43</v>
      </c>
      <c r="B84" t="s">
        <v>1058</v>
      </c>
      <c r="C84">
        <v>2631.25</v>
      </c>
      <c r="D84">
        <v>942.72</v>
      </c>
      <c r="E84">
        <v>2</v>
      </c>
      <c r="F84">
        <v>4</v>
      </c>
    </row>
    <row r="85" spans="1:6" x14ac:dyDescent="0.3">
      <c r="A85" t="s">
        <v>43</v>
      </c>
      <c r="B85" t="s">
        <v>1059</v>
      </c>
      <c r="C85">
        <v>1201.2</v>
      </c>
      <c r="D85">
        <v>329.23</v>
      </c>
      <c r="E85">
        <v>1</v>
      </c>
      <c r="F85">
        <v>8</v>
      </c>
    </row>
    <row r="86" spans="1:6" x14ac:dyDescent="0.3">
      <c r="A86" t="s">
        <v>43</v>
      </c>
      <c r="B86" t="s">
        <v>1070</v>
      </c>
      <c r="C86">
        <v>7486.09</v>
      </c>
      <c r="D86">
        <v>2363.9299999999998</v>
      </c>
      <c r="E86">
        <v>5</v>
      </c>
      <c r="F86">
        <v>3</v>
      </c>
    </row>
    <row r="87" spans="1:6" x14ac:dyDescent="0.3">
      <c r="A87" t="s">
        <v>43</v>
      </c>
      <c r="B87" t="s">
        <v>1060</v>
      </c>
      <c r="C87">
        <v>1381.76</v>
      </c>
      <c r="D87">
        <v>269.22000000000003</v>
      </c>
      <c r="E87">
        <v>1</v>
      </c>
      <c r="F87">
        <v>6</v>
      </c>
    </row>
    <row r="88" spans="1:6" x14ac:dyDescent="0.3">
      <c r="A88" t="s">
        <v>43</v>
      </c>
      <c r="B88" t="s">
        <v>1061</v>
      </c>
      <c r="C88">
        <v>338.16</v>
      </c>
      <c r="D88">
        <v>134.77000000000001</v>
      </c>
      <c r="E88">
        <v>1</v>
      </c>
      <c r="F88">
        <v>4</v>
      </c>
    </row>
    <row r="89" spans="1:6" x14ac:dyDescent="0.3">
      <c r="A89" t="s">
        <v>43</v>
      </c>
      <c r="B89" t="s">
        <v>1062</v>
      </c>
      <c r="C89">
        <v>3025.92</v>
      </c>
      <c r="D89">
        <v>866.08</v>
      </c>
      <c r="E89">
        <v>3</v>
      </c>
      <c r="F89">
        <v>7</v>
      </c>
    </row>
    <row r="90" spans="1:6" x14ac:dyDescent="0.3">
      <c r="A90" t="s">
        <v>43</v>
      </c>
      <c r="B90" t="s">
        <v>1063</v>
      </c>
      <c r="C90">
        <v>3405.03</v>
      </c>
      <c r="D90">
        <v>884.06</v>
      </c>
      <c r="E90">
        <v>4</v>
      </c>
      <c r="F90">
        <v>7</v>
      </c>
    </row>
    <row r="91" spans="1:6" x14ac:dyDescent="0.3">
      <c r="A91" t="s">
        <v>43</v>
      </c>
      <c r="B91" t="s">
        <v>1064</v>
      </c>
      <c r="C91">
        <v>263.04000000000002</v>
      </c>
      <c r="D91">
        <v>41.4</v>
      </c>
      <c r="E91">
        <v>1</v>
      </c>
      <c r="F91">
        <v>8</v>
      </c>
    </row>
    <row r="92" spans="1:6" x14ac:dyDescent="0.3">
      <c r="A92" t="s">
        <v>43</v>
      </c>
      <c r="B92" t="s">
        <v>1065</v>
      </c>
      <c r="C92">
        <v>168.63</v>
      </c>
      <c r="D92">
        <v>41.07</v>
      </c>
      <c r="E92">
        <v>1</v>
      </c>
      <c r="F92">
        <v>9</v>
      </c>
    </row>
    <row r="93" spans="1:6" x14ac:dyDescent="0.3">
      <c r="A93" t="s">
        <v>43</v>
      </c>
      <c r="B93" t="s">
        <v>1067</v>
      </c>
      <c r="C93">
        <v>1172.08</v>
      </c>
      <c r="D93">
        <v>375.08</v>
      </c>
      <c r="E93">
        <v>1</v>
      </c>
      <c r="F93">
        <v>7</v>
      </c>
    </row>
    <row r="94" spans="1:6" x14ac:dyDescent="0.3">
      <c r="A94" t="s">
        <v>43</v>
      </c>
      <c r="B94" t="s">
        <v>1071</v>
      </c>
      <c r="C94">
        <v>1027.68</v>
      </c>
      <c r="D94">
        <v>357.73</v>
      </c>
      <c r="E94">
        <v>1</v>
      </c>
      <c r="F94">
        <v>1</v>
      </c>
    </row>
  </sheetData>
  <conditionalFormatting sqref="D1:D1048576">
    <cfRule type="top10" dxfId="0" priority="1" rank="10"/>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2</vt:i4>
      </vt:variant>
    </vt:vector>
  </HeadingPairs>
  <TitlesOfParts>
    <vt:vector size="13" baseType="lpstr">
      <vt:lpstr>Q1</vt:lpstr>
      <vt:lpstr>Q2</vt:lpstr>
      <vt:lpstr>Q3</vt:lpstr>
      <vt:lpstr>Q4</vt:lpstr>
      <vt:lpstr>Q5</vt:lpstr>
      <vt:lpstr>Q6</vt:lpstr>
      <vt:lpstr>Q7</vt:lpstr>
      <vt:lpstr>Sheet6</vt:lpstr>
      <vt:lpstr>Q8</vt:lpstr>
      <vt:lpstr>Q9</vt:lpstr>
      <vt:lpstr>Top performer</vt:lpstr>
      <vt:lpstr>'Q4'!Criteria</vt:lpstr>
      <vt:lpstr>'Q4'!Extract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DEBAJYOTI ROY</dc:creator>
  <cp:lastModifiedBy>DEBAJYOTI ROY</cp:lastModifiedBy>
  <dcterms:created xsi:type="dcterms:W3CDTF">2015-06-05T18:17:20Z</dcterms:created>
  <dcterms:modified xsi:type="dcterms:W3CDTF">2026-03-26T07:41:59Z</dcterms:modified>
</cp:coreProperties>
</file>